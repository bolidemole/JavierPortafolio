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bookViews>
    <workbookView xWindow="0" yWindow="0" windowWidth="23040" windowHeight="9072" tabRatio="500" firstSheet="5" activeTab="8"/>
  </bookViews>
  <sheets>
    <sheet name="PORTADA" sheetId="1" r:id="rId1"/>
    <sheet name="DASHBOARD" sheetId="2" r:id="rId2"/>
    <sheet name="PROGRAMA" sheetId="3" r:id="rId3"/>
    <sheet name="PROG_CM" sheetId="4" r:id="rId4"/>
    <sheet name="MAQUINAS" sheetId="5" r:id="rId5"/>
    <sheet name="MANTENIMIENTOS" sheetId="6" r:id="rId6"/>
    <sheet name="PM" sheetId="7" r:id="rId7"/>
    <sheet name="AM" sheetId="8" r:id="rId8"/>
    <sheet name="COSTOS" sheetId="9" r:id="rId9"/>
    <sheet name="COTIZACION" sheetId="10" r:id="rId10"/>
    <sheet name="INFORME" sheetId="11" r:id="rId11"/>
    <sheet name="BD" sheetId="12" r:id="rId12"/>
    <sheet name="ALMACEN" sheetId="13" r:id="rId13"/>
    <sheet name="CONTROL" sheetId="14" state="hidden" r:id="rId14"/>
    <sheet name="CONFIG" sheetId="15" state="hidden" r:id="rId15"/>
  </sheets>
  <definedNames>
    <definedName name="AREAS">BD!$H$4:$H$8</definedName>
    <definedName name="AUTORIZADO">BD!$G$4:$G$8</definedName>
    <definedName name="ELABORADO">BD!$G$4:$G$8</definedName>
    <definedName name="RESPONSABLE">BD!$G$4:$G$8</definedName>
  </definedNames>
  <calcPr calcId="162913"/>
</workbook>
</file>

<file path=xl/calcChain.xml><?xml version="1.0" encoding="utf-8"?>
<calcChain xmlns="http://schemas.openxmlformats.org/spreadsheetml/2006/main">
  <c r="J21" i="13" l="1"/>
  <c r="I21" i="13"/>
  <c r="J20" i="13"/>
  <c r="I20" i="13"/>
  <c r="J19" i="13"/>
  <c r="I19" i="13"/>
  <c r="J18" i="13"/>
  <c r="I18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J10" i="13"/>
  <c r="J4" i="13" s="1"/>
  <c r="I10" i="13"/>
  <c r="J9" i="13"/>
  <c r="I9" i="13"/>
  <c r="J8" i="13"/>
  <c r="I8" i="13"/>
  <c r="J7" i="13"/>
  <c r="I7" i="13"/>
  <c r="D4" i="13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J12" i="11"/>
  <c r="A8" i="11"/>
  <c r="A5" i="11"/>
  <c r="H27" i="10"/>
  <c r="I27" i="10" s="1"/>
  <c r="G27" i="10"/>
  <c r="G26" i="10"/>
  <c r="G25" i="10"/>
  <c r="I24" i="10"/>
  <c r="G24" i="10"/>
  <c r="H24" i="10" s="1"/>
  <c r="G23" i="10"/>
  <c r="G22" i="10"/>
  <c r="H22" i="10" s="1"/>
  <c r="G21" i="10"/>
  <c r="G20" i="10"/>
  <c r="H19" i="10"/>
  <c r="I19" i="10" s="1"/>
  <c r="G19" i="10"/>
  <c r="G18" i="10"/>
  <c r="H15" i="10"/>
  <c r="B8" i="10"/>
  <c r="H6" i="10"/>
  <c r="H22" i="9"/>
  <c r="E19" i="9"/>
  <c r="F18" i="9"/>
  <c r="E18" i="9"/>
  <c r="G18" i="9" s="1"/>
  <c r="E11" i="9"/>
  <c r="F10" i="9"/>
  <c r="I4" i="9"/>
  <c r="G4" i="9"/>
  <c r="E4" i="9"/>
  <c r="C4" i="9"/>
  <c r="A4" i="9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57" i="7" s="1"/>
  <c r="G8" i="7"/>
  <c r="G7" i="7"/>
  <c r="G6" i="7"/>
  <c r="G5" i="7"/>
  <c r="H40" i="6"/>
  <c r="E40" i="6"/>
  <c r="H39" i="6"/>
  <c r="E39" i="6"/>
  <c r="H38" i="6"/>
  <c r="E38" i="6"/>
  <c r="H37" i="6"/>
  <c r="E37" i="6"/>
  <c r="H36" i="6"/>
  <c r="E36" i="6"/>
  <c r="H35" i="6"/>
  <c r="E35" i="6"/>
  <c r="H34" i="6"/>
  <c r="E34" i="6"/>
  <c r="H33" i="6"/>
  <c r="E33" i="6"/>
  <c r="H32" i="6"/>
  <c r="E32" i="6"/>
  <c r="H31" i="6"/>
  <c r="E31" i="6"/>
  <c r="H30" i="6"/>
  <c r="E30" i="6"/>
  <c r="H29" i="6"/>
  <c r="E29" i="6"/>
  <c r="E10" i="9" s="1"/>
  <c r="G10" i="9" s="1"/>
  <c r="H28" i="6"/>
  <c r="E28" i="6"/>
  <c r="H27" i="6"/>
  <c r="E27" i="6"/>
  <c r="E16" i="9" s="1"/>
  <c r="H26" i="6"/>
  <c r="E26" i="6"/>
  <c r="H25" i="6"/>
  <c r="E25" i="6"/>
  <c r="E17" i="9" s="1"/>
  <c r="H24" i="6"/>
  <c r="E24" i="6"/>
  <c r="H23" i="6"/>
  <c r="E23" i="6"/>
  <c r="H22" i="6"/>
  <c r="E22" i="6"/>
  <c r="H21" i="6"/>
  <c r="E21" i="6"/>
  <c r="D19" i="9" s="1"/>
  <c r="H20" i="6"/>
  <c r="E20" i="6"/>
  <c r="H19" i="6"/>
  <c r="E19" i="6"/>
  <c r="H18" i="6"/>
  <c r="E18" i="6"/>
  <c r="H17" i="6"/>
  <c r="E17" i="6"/>
  <c r="H16" i="6"/>
  <c r="E16" i="6"/>
  <c r="H15" i="6"/>
  <c r="E15" i="6"/>
  <c r="H14" i="6"/>
  <c r="E14" i="6"/>
  <c r="D18" i="9" s="1"/>
  <c r="H13" i="6"/>
  <c r="E13" i="6"/>
  <c r="F15" i="9" s="1"/>
  <c r="H12" i="6"/>
  <c r="E12" i="6"/>
  <c r="D11" i="9" s="1"/>
  <c r="H11" i="6"/>
  <c r="E11" i="6"/>
  <c r="E8" i="9" s="1"/>
  <c r="M5" i="6"/>
  <c r="J5" i="6"/>
  <c r="A5" i="6"/>
  <c r="L14" i="5"/>
  <c r="H14" i="5"/>
  <c r="L13" i="5"/>
  <c r="H13" i="5"/>
  <c r="L12" i="5"/>
  <c r="H12" i="5"/>
  <c r="L11" i="5"/>
  <c r="H11" i="5"/>
  <c r="L10" i="5"/>
  <c r="H10" i="5"/>
  <c r="L9" i="5"/>
  <c r="H9" i="5"/>
  <c r="L8" i="5"/>
  <c r="H8" i="5"/>
  <c r="L7" i="5"/>
  <c r="H7" i="5"/>
  <c r="L6" i="5"/>
  <c r="H6" i="5"/>
  <c r="L5" i="5"/>
  <c r="H5" i="5"/>
  <c r="L17" i="4"/>
  <c r="K4" i="4" s="1"/>
  <c r="K17" i="4"/>
  <c r="I4" i="4" s="1"/>
  <c r="M12" i="4"/>
  <c r="M11" i="4"/>
  <c r="M10" i="4"/>
  <c r="M9" i="4"/>
  <c r="M8" i="4"/>
  <c r="M7" i="4"/>
  <c r="M4" i="4"/>
  <c r="G4" i="4"/>
  <c r="E4" i="4"/>
  <c r="C4" i="4"/>
  <c r="A4" i="4"/>
  <c r="Q49" i="3"/>
  <c r="P49" i="3"/>
  <c r="L49" i="3"/>
  <c r="K49" i="3"/>
  <c r="J49" i="3"/>
  <c r="I49" i="3"/>
  <c r="P48" i="3"/>
  <c r="Q48" i="3" s="1"/>
  <c r="L48" i="3"/>
  <c r="K48" i="3"/>
  <c r="J48" i="3"/>
  <c r="I48" i="3"/>
  <c r="P47" i="3"/>
  <c r="Q47" i="3" s="1"/>
  <c r="L47" i="3"/>
  <c r="K47" i="3"/>
  <c r="J47" i="3"/>
  <c r="I47" i="3"/>
  <c r="P46" i="3"/>
  <c r="Q46" i="3" s="1"/>
  <c r="L46" i="3"/>
  <c r="K46" i="3"/>
  <c r="J46" i="3"/>
  <c r="I46" i="3"/>
  <c r="Q45" i="3"/>
  <c r="P45" i="3"/>
  <c r="L45" i="3"/>
  <c r="K45" i="3"/>
  <c r="J45" i="3"/>
  <c r="I45" i="3"/>
  <c r="P44" i="3"/>
  <c r="Q44" i="3" s="1"/>
  <c r="L44" i="3"/>
  <c r="K44" i="3"/>
  <c r="J44" i="3"/>
  <c r="I44" i="3"/>
  <c r="P43" i="3"/>
  <c r="Q43" i="3" s="1"/>
  <c r="L43" i="3"/>
  <c r="K43" i="3"/>
  <c r="J43" i="3"/>
  <c r="I43" i="3"/>
  <c r="P42" i="3"/>
  <c r="Q42" i="3" s="1"/>
  <c r="L42" i="3"/>
  <c r="K42" i="3"/>
  <c r="J42" i="3"/>
  <c r="I42" i="3"/>
  <c r="Q41" i="3"/>
  <c r="P41" i="3"/>
  <c r="L41" i="3"/>
  <c r="K41" i="3"/>
  <c r="J41" i="3"/>
  <c r="I41" i="3"/>
  <c r="P40" i="3"/>
  <c r="Q40" i="3" s="1"/>
  <c r="L40" i="3"/>
  <c r="K40" i="3"/>
  <c r="J40" i="3"/>
  <c r="I40" i="3"/>
  <c r="P39" i="3"/>
  <c r="Q39" i="3" s="1"/>
  <c r="L39" i="3"/>
  <c r="K39" i="3"/>
  <c r="J39" i="3"/>
  <c r="I39" i="3"/>
  <c r="P38" i="3"/>
  <c r="Q38" i="3" s="1"/>
  <c r="L38" i="3"/>
  <c r="K38" i="3"/>
  <c r="J38" i="3"/>
  <c r="I38" i="3"/>
  <c r="P37" i="3"/>
  <c r="Q37" i="3" s="1"/>
  <c r="L37" i="3"/>
  <c r="K37" i="3"/>
  <c r="J37" i="3"/>
  <c r="I37" i="3"/>
  <c r="P36" i="3"/>
  <c r="Q36" i="3" s="1"/>
  <c r="L36" i="3"/>
  <c r="K36" i="3"/>
  <c r="J36" i="3"/>
  <c r="I36" i="3"/>
  <c r="P35" i="3"/>
  <c r="Q35" i="3" s="1"/>
  <c r="L35" i="3"/>
  <c r="K35" i="3"/>
  <c r="J35" i="3"/>
  <c r="I35" i="3"/>
  <c r="P34" i="3"/>
  <c r="Q34" i="3" s="1"/>
  <c r="L34" i="3"/>
  <c r="K34" i="3"/>
  <c r="J34" i="3"/>
  <c r="I34" i="3"/>
  <c r="P33" i="3"/>
  <c r="Q33" i="3" s="1"/>
  <c r="L33" i="3"/>
  <c r="K33" i="3"/>
  <c r="J33" i="3"/>
  <c r="I33" i="3"/>
  <c r="P32" i="3"/>
  <c r="Q32" i="3" s="1"/>
  <c r="L32" i="3"/>
  <c r="K32" i="3"/>
  <c r="J32" i="3"/>
  <c r="I32" i="3"/>
  <c r="P31" i="3"/>
  <c r="Q31" i="3" s="1"/>
  <c r="L31" i="3"/>
  <c r="K31" i="3"/>
  <c r="J31" i="3"/>
  <c r="I31" i="3"/>
  <c r="P30" i="3"/>
  <c r="Q30" i="3" s="1"/>
  <c r="L30" i="3"/>
  <c r="K30" i="3"/>
  <c r="J30" i="3"/>
  <c r="I30" i="3"/>
  <c r="P29" i="3"/>
  <c r="Q29" i="3" s="1"/>
  <c r="L29" i="3"/>
  <c r="K29" i="3"/>
  <c r="J29" i="3"/>
  <c r="I29" i="3"/>
  <c r="P28" i="3"/>
  <c r="Q28" i="3" s="1"/>
  <c r="L28" i="3"/>
  <c r="K28" i="3"/>
  <c r="J28" i="3"/>
  <c r="I28" i="3"/>
  <c r="P27" i="3"/>
  <c r="Q27" i="3" s="1"/>
  <c r="L27" i="3"/>
  <c r="K27" i="3"/>
  <c r="J27" i="3"/>
  <c r="I27" i="3"/>
  <c r="P26" i="3"/>
  <c r="Q26" i="3" s="1"/>
  <c r="L26" i="3"/>
  <c r="K26" i="3"/>
  <c r="J26" i="3"/>
  <c r="E20" i="2" s="1"/>
  <c r="I26" i="3"/>
  <c r="P25" i="3"/>
  <c r="Q25" i="3" s="1"/>
  <c r="L25" i="3"/>
  <c r="K25" i="3"/>
  <c r="J25" i="3"/>
  <c r="E19" i="2" s="1"/>
  <c r="I25" i="3"/>
  <c r="P24" i="3"/>
  <c r="Q24" i="3" s="1"/>
  <c r="L24" i="3"/>
  <c r="G19" i="2" s="1"/>
  <c r="K24" i="3"/>
  <c r="J24" i="3"/>
  <c r="I24" i="3"/>
  <c r="P23" i="3"/>
  <c r="Q23" i="3" s="1"/>
  <c r="L23" i="3"/>
  <c r="K23" i="3"/>
  <c r="J23" i="3"/>
  <c r="I23" i="3"/>
  <c r="P22" i="3"/>
  <c r="Q22" i="3" s="1"/>
  <c r="L22" i="3"/>
  <c r="K22" i="3"/>
  <c r="F18" i="2" s="1"/>
  <c r="J22" i="3"/>
  <c r="E18" i="2" s="1"/>
  <c r="I22" i="3"/>
  <c r="Q21" i="3"/>
  <c r="P21" i="3"/>
  <c r="L21" i="3"/>
  <c r="K21" i="3"/>
  <c r="F17" i="2" s="1"/>
  <c r="J21" i="3"/>
  <c r="I21" i="3"/>
  <c r="P20" i="3"/>
  <c r="Q20" i="3" s="1"/>
  <c r="L20" i="3"/>
  <c r="K20" i="3"/>
  <c r="J20" i="3"/>
  <c r="E17" i="2" s="1"/>
  <c r="I20" i="3"/>
  <c r="P19" i="3"/>
  <c r="Q19" i="3" s="1"/>
  <c r="L19" i="3"/>
  <c r="K19" i="3"/>
  <c r="J19" i="3"/>
  <c r="I19" i="3"/>
  <c r="P18" i="3"/>
  <c r="Q18" i="3" s="1"/>
  <c r="L18" i="3"/>
  <c r="K18" i="3"/>
  <c r="J18" i="3"/>
  <c r="E16" i="2" s="1"/>
  <c r="I18" i="3"/>
  <c r="P17" i="3"/>
  <c r="Q17" i="3" s="1"/>
  <c r="L17" i="3"/>
  <c r="K17" i="3"/>
  <c r="J17" i="3"/>
  <c r="I17" i="3"/>
  <c r="P16" i="3"/>
  <c r="Q16" i="3" s="1"/>
  <c r="L16" i="3"/>
  <c r="G15" i="2" s="1"/>
  <c r="K16" i="3"/>
  <c r="J16" i="3"/>
  <c r="I16" i="3"/>
  <c r="P15" i="3"/>
  <c r="Q15" i="3" s="1"/>
  <c r="L15" i="3"/>
  <c r="K15" i="3"/>
  <c r="J15" i="3"/>
  <c r="I15" i="3"/>
  <c r="P14" i="3"/>
  <c r="Q14" i="3" s="1"/>
  <c r="L14" i="3"/>
  <c r="K14" i="3"/>
  <c r="F14" i="2" s="1"/>
  <c r="J14" i="3"/>
  <c r="E14" i="2" s="1"/>
  <c r="I14" i="3"/>
  <c r="D14" i="2" s="1"/>
  <c r="Q13" i="3"/>
  <c r="P13" i="3"/>
  <c r="L13" i="3"/>
  <c r="K13" i="3"/>
  <c r="J13" i="3"/>
  <c r="I13" i="3"/>
  <c r="P12" i="3"/>
  <c r="Q12" i="3" s="1"/>
  <c r="L12" i="3"/>
  <c r="K12" i="3"/>
  <c r="J12" i="3"/>
  <c r="I12" i="3"/>
  <c r="P11" i="3"/>
  <c r="Q11" i="3" s="1"/>
  <c r="L11" i="3"/>
  <c r="K11" i="3"/>
  <c r="J11" i="3"/>
  <c r="I11" i="3"/>
  <c r="P10" i="3"/>
  <c r="Q10" i="3" s="1"/>
  <c r="L10" i="3"/>
  <c r="I4" i="2" s="1"/>
  <c r="K10" i="3"/>
  <c r="J10" i="3"/>
  <c r="E12" i="2" s="1"/>
  <c r="I10" i="3"/>
  <c r="O8" i="3"/>
  <c r="K8" i="3"/>
  <c r="P5" i="3"/>
  <c r="D5" i="3"/>
  <c r="A5" i="3"/>
  <c r="L21" i="2"/>
  <c r="G21" i="2"/>
  <c r="F21" i="2"/>
  <c r="E21" i="2"/>
  <c r="C21" i="2"/>
  <c r="L20" i="2"/>
  <c r="G20" i="2"/>
  <c r="C20" i="2"/>
  <c r="L19" i="2"/>
  <c r="C19" i="2"/>
  <c r="L18" i="2"/>
  <c r="G18" i="2"/>
  <c r="C18" i="2"/>
  <c r="L17" i="2"/>
  <c r="G17" i="2"/>
  <c r="C17" i="2"/>
  <c r="L16" i="2"/>
  <c r="G16" i="2"/>
  <c r="C16" i="2"/>
  <c r="L15" i="2"/>
  <c r="E15" i="2"/>
  <c r="D15" i="2"/>
  <c r="H15" i="2" s="1"/>
  <c r="C15" i="2"/>
  <c r="L14" i="2"/>
  <c r="G14" i="2"/>
  <c r="C14" i="2"/>
  <c r="L13" i="2"/>
  <c r="G13" i="2"/>
  <c r="F13" i="2"/>
  <c r="E13" i="2"/>
  <c r="D13" i="2"/>
  <c r="H13" i="2" s="1"/>
  <c r="C13" i="2"/>
  <c r="L12" i="2"/>
  <c r="G12" i="2"/>
  <c r="F12" i="2"/>
  <c r="C12" i="2"/>
  <c r="O4" i="2"/>
  <c r="A4" i="2"/>
  <c r="C21" i="1"/>
  <c r="C19" i="1"/>
  <c r="C18" i="1"/>
  <c r="C17" i="1"/>
  <c r="C16" i="1"/>
  <c r="I14" i="2" l="1"/>
  <c r="H14" i="2"/>
  <c r="J10" i="9"/>
  <c r="H10" i="9"/>
  <c r="J18" i="9"/>
  <c r="H18" i="9"/>
  <c r="I18" i="9"/>
  <c r="J13" i="2"/>
  <c r="E4" i="2"/>
  <c r="G4" i="2"/>
  <c r="F16" i="2"/>
  <c r="O21" i="3"/>
  <c r="N21" i="3"/>
  <c r="O25" i="3"/>
  <c r="N25" i="3"/>
  <c r="O29" i="3"/>
  <c r="N29" i="3"/>
  <c r="O37" i="3"/>
  <c r="N37" i="3"/>
  <c r="O41" i="3"/>
  <c r="N41" i="3"/>
  <c r="O49" i="3"/>
  <c r="N49" i="3"/>
  <c r="D9" i="9"/>
  <c r="D8" i="11"/>
  <c r="O10" i="3"/>
  <c r="F8" i="3"/>
  <c r="N10" i="3"/>
  <c r="A8" i="3"/>
  <c r="D12" i="2"/>
  <c r="O14" i="3"/>
  <c r="N14" i="3"/>
  <c r="O18" i="3"/>
  <c r="N18" i="3"/>
  <c r="D16" i="2"/>
  <c r="O22" i="3"/>
  <c r="N22" i="3"/>
  <c r="O26" i="3"/>
  <c r="N26" i="3"/>
  <c r="D20" i="2"/>
  <c r="O30" i="3"/>
  <c r="N30" i="3"/>
  <c r="O34" i="3"/>
  <c r="N34" i="3"/>
  <c r="O38" i="3"/>
  <c r="N38" i="3"/>
  <c r="O42" i="3"/>
  <c r="N42" i="3"/>
  <c r="O46" i="3"/>
  <c r="N46" i="3"/>
  <c r="E12" i="9"/>
  <c r="D12" i="9"/>
  <c r="F13" i="9"/>
  <c r="F14" i="9"/>
  <c r="E13" i="9"/>
  <c r="E14" i="9"/>
  <c r="D13" i="9"/>
  <c r="F8" i="9"/>
  <c r="F12" i="9"/>
  <c r="G28" i="10"/>
  <c r="C4" i="2"/>
  <c r="D14" i="9"/>
  <c r="D16" i="9"/>
  <c r="H20" i="10"/>
  <c r="I20" i="10" s="1"/>
  <c r="G5" i="3"/>
  <c r="O13" i="3"/>
  <c r="N13" i="3"/>
  <c r="O17" i="3"/>
  <c r="N17" i="3"/>
  <c r="F20" i="2"/>
  <c r="O33" i="3"/>
  <c r="N33" i="3"/>
  <c r="O45" i="3"/>
  <c r="N45" i="3"/>
  <c r="H25" i="10"/>
  <c r="I25" i="10" s="1"/>
  <c r="I22" i="13"/>
  <c r="A4" i="13"/>
  <c r="K4" i="2"/>
  <c r="J15" i="2"/>
  <c r="J5" i="3"/>
  <c r="E9" i="9"/>
  <c r="M5" i="3"/>
  <c r="O12" i="3"/>
  <c r="N12" i="3"/>
  <c r="O20" i="3"/>
  <c r="D17" i="2"/>
  <c r="N20" i="3"/>
  <c r="O28" i="3"/>
  <c r="D21" i="2"/>
  <c r="N28" i="3"/>
  <c r="O40" i="3"/>
  <c r="N40" i="3"/>
  <c r="O44" i="3"/>
  <c r="N44" i="3"/>
  <c r="O48" i="3"/>
  <c r="N48" i="3"/>
  <c r="D5" i="6"/>
  <c r="F16" i="9"/>
  <c r="G16" i="9" s="1"/>
  <c r="D17" i="9"/>
  <c r="D15" i="9"/>
  <c r="I22" i="10"/>
  <c r="J8" i="11"/>
  <c r="F11" i="9"/>
  <c r="G11" i="9" s="1"/>
  <c r="G8" i="11"/>
  <c r="O4" i="4"/>
  <c r="G5" i="6"/>
  <c r="A8" i="2"/>
  <c r="I13" i="2"/>
  <c r="K13" i="2" s="1"/>
  <c r="O11" i="3"/>
  <c r="N11" i="3"/>
  <c r="O15" i="3"/>
  <c r="N15" i="3"/>
  <c r="F15" i="2"/>
  <c r="I15" i="2" s="1"/>
  <c r="K15" i="2" s="1"/>
  <c r="O19" i="3"/>
  <c r="N19" i="3"/>
  <c r="O23" i="3"/>
  <c r="N23" i="3"/>
  <c r="F19" i="2"/>
  <c r="O27" i="3"/>
  <c r="N27" i="3"/>
  <c r="O31" i="3"/>
  <c r="N31" i="3"/>
  <c r="O35" i="3"/>
  <c r="N35" i="3"/>
  <c r="O39" i="3"/>
  <c r="N39" i="3"/>
  <c r="O43" i="3"/>
  <c r="N43" i="3"/>
  <c r="O47" i="3"/>
  <c r="N47" i="3"/>
  <c r="M17" i="4"/>
  <c r="E20" i="9"/>
  <c r="G20" i="9" s="1"/>
  <c r="D20" i="9"/>
  <c r="F21" i="9"/>
  <c r="E21" i="9"/>
  <c r="D21" i="9"/>
  <c r="D8" i="9"/>
  <c r="D10" i="9"/>
  <c r="I10" i="9" s="1"/>
  <c r="E15" i="9"/>
  <c r="G15" i="9" s="1"/>
  <c r="F17" i="9"/>
  <c r="G17" i="9" s="1"/>
  <c r="H23" i="10"/>
  <c r="I23" i="10" s="1"/>
  <c r="A12" i="11"/>
  <c r="G12" i="11" s="1"/>
  <c r="G4" i="13"/>
  <c r="M4" i="2"/>
  <c r="D19" i="2"/>
  <c r="O16" i="3"/>
  <c r="N16" i="3"/>
  <c r="O24" i="3"/>
  <c r="N24" i="3"/>
  <c r="O32" i="3"/>
  <c r="N32" i="3"/>
  <c r="O36" i="3"/>
  <c r="N36" i="3"/>
  <c r="F9" i="9"/>
  <c r="F19" i="9"/>
  <c r="G19" i="9" s="1"/>
  <c r="I18" i="10"/>
  <c r="D18" i="2"/>
  <c r="E8" i="2"/>
  <c r="F20" i="9"/>
  <c r="D12" i="11"/>
  <c r="H18" i="10"/>
  <c r="H26" i="10"/>
  <c r="I26" i="10" s="1"/>
  <c r="H21" i="10"/>
  <c r="I21" i="10" s="1"/>
  <c r="J11" i="9" l="1"/>
  <c r="I11" i="9"/>
  <c r="H11" i="9"/>
  <c r="J17" i="9"/>
  <c r="I17" i="9"/>
  <c r="H17" i="9"/>
  <c r="I19" i="9"/>
  <c r="J19" i="9"/>
  <c r="H19" i="9"/>
  <c r="I16" i="9"/>
  <c r="H16" i="9"/>
  <c r="J16" i="9"/>
  <c r="I12" i="2"/>
  <c r="H12" i="2"/>
  <c r="J14" i="2"/>
  <c r="K14" i="2"/>
  <c r="H19" i="2"/>
  <c r="I19" i="2"/>
  <c r="I30" i="10"/>
  <c r="J20" i="9"/>
  <c r="I20" i="9"/>
  <c r="H20" i="9"/>
  <c r="H29" i="10"/>
  <c r="G12" i="9"/>
  <c r="I16" i="2"/>
  <c r="H16" i="2"/>
  <c r="I21" i="2"/>
  <c r="H21" i="2"/>
  <c r="G9" i="9"/>
  <c r="I18" i="2"/>
  <c r="H18" i="2"/>
  <c r="G21" i="9"/>
  <c r="F22" i="9"/>
  <c r="G8" i="9"/>
  <c r="H15" i="9"/>
  <c r="I15" i="9"/>
  <c r="J15" i="9"/>
  <c r="I17" i="2"/>
  <c r="H17" i="2"/>
  <c r="E22" i="9"/>
  <c r="G14" i="9"/>
  <c r="I20" i="2"/>
  <c r="H20" i="2"/>
  <c r="G13" i="9"/>
  <c r="J14" i="9" l="1"/>
  <c r="I14" i="9"/>
  <c r="H14" i="9"/>
  <c r="J19" i="2"/>
  <c r="K19" i="2"/>
  <c r="K12" i="2"/>
  <c r="J12" i="2"/>
  <c r="J9" i="9"/>
  <c r="I9" i="9"/>
  <c r="H9" i="9"/>
  <c r="I13" i="9"/>
  <c r="H13" i="9"/>
  <c r="J13" i="9"/>
  <c r="K21" i="2"/>
  <c r="J21" i="2"/>
  <c r="H12" i="9"/>
  <c r="J12" i="9"/>
  <c r="I12" i="9"/>
  <c r="H21" i="9"/>
  <c r="J21" i="9"/>
  <c r="I21" i="9"/>
  <c r="K17" i="2"/>
  <c r="J17" i="2"/>
  <c r="J18" i="2"/>
  <c r="K18" i="2"/>
  <c r="K20" i="2"/>
  <c r="J20" i="2"/>
  <c r="I8" i="9"/>
  <c r="G22" i="9"/>
  <c r="H8" i="9"/>
  <c r="J8" i="9"/>
  <c r="K16" i="2"/>
  <c r="J16" i="2"/>
  <c r="I22" i="9" l="1"/>
</calcChain>
</file>

<file path=xl/sharedStrings.xml><?xml version="1.0" encoding="utf-8"?>
<sst xmlns="http://schemas.openxmlformats.org/spreadsheetml/2006/main" count="1750" uniqueCount="615">
  <si>
    <t>Industrias Metálicas del centro S.A. de C.V.</t>
  </si>
  <si>
    <t>SISTEMA DE GESTIÓN DE MANTENIMIENTO</t>
  </si>
  <si>
    <t>Preventivo · Correctivo · Control de Costos · KPIs</t>
  </si>
  <si>
    <t>Empresa:</t>
  </si>
  <si>
    <t>Planta / Sede:</t>
  </si>
  <si>
    <t>Responsable:</t>
  </si>
  <si>
    <t>Año fiscal:</t>
  </si>
  <si>
    <t>Versión:</t>
  </si>
  <si>
    <t>1.0</t>
  </si>
  <si>
    <t>Última actualización:</t>
  </si>
  <si>
    <t>📋  PROGRAMA</t>
  </si>
  <si>
    <t>Control semanal de actividades PM/CM</t>
  </si>
  <si>
    <t>🏭  MÁQUINAS</t>
  </si>
  <si>
    <t>Registro y ficha técnica de equipos</t>
  </si>
  <si>
    <t>🔧  MANTENIMIENTOS</t>
  </si>
  <si>
    <t>Historial de intervenciones PM y CM</t>
  </si>
  <si>
    <t>📦  ALMACÉN</t>
  </si>
  <si>
    <t>Inventario de repuestos y materiales</t>
  </si>
  <si>
    <t>💰  COSTOS</t>
  </si>
  <si>
    <t>Presupuesto y análisis de costos</t>
  </si>
  <si>
    <t>📄  COTIZACIÓN</t>
  </si>
  <si>
    <t>Generación de cotizaciones de mantenimiento</t>
  </si>
  <si>
    <t>📊  DASHBOARD</t>
  </si>
  <si>
    <t>Indicadores KPI y semáforos</t>
  </si>
  <si>
    <t>📑  INFORME</t>
  </si>
  <si>
    <t>Reporte por equipo individual</t>
  </si>
  <si>
    <t>CONFIDENCIAL — USO INTERNO</t>
  </si>
  <si>
    <t>DASHBOARD — CONTROL DE MANTENIMIENTO PREVENTIVO Y CORRECTIVO</t>
  </si>
  <si>
    <t>Actualización automática al modificar hoja PROGRAMA o MANTENIMIENTOS  |  Metas: Cumplimiento ≥ 90%  |  Efectividad ≥ 80%</t>
  </si>
  <si>
    <t>PROGRAMADOS
(PR)</t>
  </si>
  <si>
    <t>EJECUTADOS
(E)</t>
  </si>
  <si>
    <t>REPROGRAMADOS
(R)</t>
  </si>
  <si>
    <t>NO EJECUTADOS
(N)</t>
  </si>
  <si>
    <t>PENDIENTES
(P)</t>
  </si>
  <si>
    <t>% CUMPLIMIENTO</t>
  </si>
  <si>
    <t>% EFECTIVIDAD</t>
  </si>
  <si>
    <t>COSTO TOTAL</t>
  </si>
  <si>
    <t>SEMÁFORO CUMPLIMIENTO</t>
  </si>
  <si>
    <t>SEMÁFORO EFECTIVIDAD</t>
  </si>
  <si>
    <t>RESUMEN POR EQUIPO</t>
  </si>
  <si>
    <t>CÓDIGO</t>
  </si>
  <si>
    <t>EQUIPO</t>
  </si>
  <si>
    <t>PR</t>
  </si>
  <si>
    <t>E</t>
  </si>
  <si>
    <t>R</t>
  </si>
  <si>
    <t>N</t>
  </si>
  <si>
    <t>P</t>
  </si>
  <si>
    <t>% CUMPLIM.</t>
  </si>
  <si>
    <t>% EFECTIVID.</t>
  </si>
  <si>
    <t>SEMÁFORO</t>
  </si>
  <si>
    <t>PUNTAJE</t>
  </si>
  <si>
    <t>M-001</t>
  </si>
  <si>
    <t>Torno CNC TL-500</t>
  </si>
  <si>
    <t>M-002</t>
  </si>
  <si>
    <t>Fresadora Vertical FV-300</t>
  </si>
  <si>
    <t>M-003</t>
  </si>
  <si>
    <t>Taladro Radial TR-200</t>
  </si>
  <si>
    <t>M-004</t>
  </si>
  <si>
    <t>Soldadora MIG SW-450</t>
  </si>
  <si>
    <t>M-005</t>
  </si>
  <si>
    <t>Compresor Industrial CI-75</t>
  </si>
  <si>
    <t>M-006</t>
  </si>
  <si>
    <t>Prensa Hidráulica PH-100</t>
  </si>
  <si>
    <t>M-007</t>
  </si>
  <si>
    <t>Grúa Puente GP-5T</t>
  </si>
  <si>
    <t>M-008</t>
  </si>
  <si>
    <t>Banda Transportadora BT-20</t>
  </si>
  <si>
    <t>M-009</t>
  </si>
  <si>
    <t>Generador Eléctrico GE-150</t>
  </si>
  <si>
    <t>M-010</t>
  </si>
  <si>
    <t>Bomba Centrífuga BC-50</t>
  </si>
  <si>
    <t>CONTROL DE MANTENIMIENTO PREVENTIVO DE EQUIPOS — PROGRAMA ANUAL 2025</t>
  </si>
  <si>
    <t>Estado:  E = Ejecutado  |  R = Reprogramado  |  N = No Ejecutado  |  P = Pendiente  — Actualice la columna ESTADO</t>
  </si>
  <si>
    <t>Actividades</t>
  </si>
  <si>
    <t>Programados (PR)</t>
  </si>
  <si>
    <t>Ejecutados (E)</t>
  </si>
  <si>
    <t>Reprogramados (R)</t>
  </si>
  <si>
    <t>No Ejecutados (N)</t>
  </si>
  <si>
    <t>Pendientes (P)</t>
  </si>
  <si>
    <t>META CUMPLIM. ≥ 90%</t>
  </si>
  <si>
    <t>META EFECTIVID. ≥ 80%</t>
  </si>
  <si>
    <t>N°</t>
  </si>
  <si>
    <t>CÓD.</t>
  </si>
  <si>
    <t>ACTIVIDAD</t>
  </si>
  <si>
    <t>DÍA INICIO</t>
  </si>
  <si>
    <t>FREC.
(días)</t>
  </si>
  <si>
    <t>FRECUENCIA</t>
  </si>
  <si>
    <t>ESTADO</t>
  </si>
  <si>
    <t>CUMPLIM.</t>
  </si>
  <si>
    <t>EFECTIVID.</t>
  </si>
  <si>
    <t>PRÓX. MTTO.</t>
  </si>
  <si>
    <t>FALTAN DÍAS</t>
  </si>
  <si>
    <t>Revisión y cambio de aceite del motor</t>
  </si>
  <si>
    <t>01/07/2025</t>
  </si>
  <si>
    <t>Mensual</t>
  </si>
  <si>
    <t>Inspección eléctrica general</t>
  </si>
  <si>
    <t>16/07/2025</t>
  </si>
  <si>
    <t>Quincenal</t>
  </si>
  <si>
    <t>Inspección del sistema hidráulico</t>
  </si>
  <si>
    <t>03/07/2025</t>
  </si>
  <si>
    <t>Semanal</t>
  </si>
  <si>
    <t>Lubricación de partes móviles</t>
  </si>
  <si>
    <t>Limpieza de filtros y sistema de enfriamiento</t>
  </si>
  <si>
    <t>05/07/2025</t>
  </si>
  <si>
    <t>Revisión de frenos y sistema de parada</t>
  </si>
  <si>
    <t>20/07/2025</t>
  </si>
  <si>
    <t>Inspección de soldaduras y estructuras</t>
  </si>
  <si>
    <t>07/07/2025</t>
  </si>
  <si>
    <t>Calibración de parámetros y sensores</t>
  </si>
  <si>
    <t>Bimestral</t>
  </si>
  <si>
    <t>08/07/2025</t>
  </si>
  <si>
    <t>23/07/2025</t>
  </si>
  <si>
    <t>10/07/2025</t>
  </si>
  <si>
    <t>Revisión de correas y poleas</t>
  </si>
  <si>
    <t>12/07/2025</t>
  </si>
  <si>
    <t>Revisión de tablero de control</t>
  </si>
  <si>
    <t>27/07/2025</t>
  </si>
  <si>
    <t>14/07/2025</t>
  </si>
  <si>
    <t>15/07/2025</t>
  </si>
  <si>
    <t>17/07/2025</t>
  </si>
  <si>
    <t>Revisión de tablero de control y display CNC</t>
  </si>
  <si>
    <t>10/01/2025</t>
  </si>
  <si>
    <t>Calibración de parámetros y compensación de herramientas</t>
  </si>
  <si>
    <t>10/04/2025</t>
  </si>
  <si>
    <t>Trimestral</t>
  </si>
  <si>
    <t>Inspección eléctrica general y revisión de variadores</t>
  </si>
  <si>
    <t>05/01/2025</t>
  </si>
  <si>
    <t>Calibración de parámetros y sensores de posición</t>
  </si>
  <si>
    <t>05/03/2025</t>
  </si>
  <si>
    <t>Revisión de tablero de control e indicadores</t>
  </si>
  <si>
    <t>20/01/2025</t>
  </si>
  <si>
    <t>Alineación y balanceo de husillo principal</t>
  </si>
  <si>
    <t>20/04/2025</t>
  </si>
  <si>
    <t>Revisión de correas, poleas y mecanismo alimentador</t>
  </si>
  <si>
    <t>07/01/2025</t>
  </si>
  <si>
    <t>Inspección eléctrica de conexiones y fuente de poder</t>
  </si>
  <si>
    <t>20/03/2025</t>
  </si>
  <si>
    <t>Revisión de tablero de control y manómetros</t>
  </si>
  <si>
    <t>12/01/2025</t>
  </si>
  <si>
    <t>Revisión de válvulas de admisión y descarga</t>
  </si>
  <si>
    <t>26/03/2025</t>
  </si>
  <si>
    <t>Inspección eléctrica de bobinas y electroválvulas</t>
  </si>
  <si>
    <t>Calibración de manómetros y presostatos del sistema</t>
  </si>
  <si>
    <t>10/03/2025</t>
  </si>
  <si>
    <t>Lubricación de mecanismo de traslación y elevación</t>
  </si>
  <si>
    <t>Inspección eléctrica de colgante y contactores de mando</t>
  </si>
  <si>
    <t>01/04/2025</t>
  </si>
  <si>
    <t>Revisión de rodamientos de tambor y rodillos de carga</t>
  </si>
  <si>
    <t>14/01/2025</t>
  </si>
  <si>
    <t>Revisión de tablero de control y variador de frecuencia</t>
  </si>
  <si>
    <t>28/04/2025</t>
  </si>
  <si>
    <t>Revisión de tablero de transferencia automática ATS</t>
  </si>
  <si>
    <t>15/01/2025</t>
  </si>
  <si>
    <t>Lubricación de partes móviles y revisión de correas</t>
  </si>
  <si>
    <t>Revisión de correas de transmisión y alineación de eje</t>
  </si>
  <si>
    <t>17/01/2025</t>
  </si>
  <si>
    <t>Calibración de presostatos y válvulas de regulación</t>
  </si>
  <si>
    <t>17/04/2025</t>
  </si>
  <si>
    <t>PROGRAMA DE MANTENIMIENTO CORRECTIVO — 2025</t>
  </si>
  <si>
    <t>Registre fallas detectadas y programe su intervención. Actualice ESTADO al ejecutar.  |  PRIORIDAD: Alta / Media / Baja</t>
  </si>
  <si>
    <t>TOTAL REGISTROS</t>
  </si>
  <si>
    <t>PENDIENTES</t>
  </si>
  <si>
    <t>EN PROCESO</t>
  </si>
  <si>
    <t>COMPLETADOS</t>
  </si>
  <si>
    <t>COSTO M.O. TOTAL</t>
  </si>
  <si>
    <t>COSTO INSUMOS TOTAL</t>
  </si>
  <si>
    <t>COSTO TOTAL CM</t>
  </si>
  <si>
    <t>% DEL PRESUPUESTO</t>
  </si>
  <si>
    <t>IDENTIFICACIÓN DEL EQUIPO Y FALLA</t>
  </si>
  <si>
    <t>FECHAS DE INTERVENCIÓN</t>
  </si>
  <si>
    <t>RECURSOS</t>
  </si>
  <si>
    <t>COSTOS (MXN)</t>
  </si>
  <si>
    <t>OBSERVACIONES</t>
  </si>
  <si>
    <t>CÓD.
EQUIPO</t>
  </si>
  <si>
    <t>NOMBRE DEL EQUIPO</t>
  </si>
  <si>
    <t>FALLA DETECTADA /
DESCRIPCIÓN</t>
  </si>
  <si>
    <t>FECHA
DETECCIÓN</t>
  </si>
  <si>
    <t>FECHA
PROGRAMADA</t>
  </si>
  <si>
    <t>FECHA
EJECUCIÓN</t>
  </si>
  <si>
    <t>RESPONSABLE</t>
  </si>
  <si>
    <t>PRIORIDAD</t>
  </si>
  <si>
    <t>TIEMPO
REP. (min)</t>
  </si>
  <si>
    <t>COSTO
M.O. ($)</t>
  </si>
  <si>
    <t>COSTO
INSUMOS ($)</t>
  </si>
  <si>
    <t>COSTO
TOTAL ($)</t>
  </si>
  <si>
    <t>Rodamiento principal con desgaste severo — sustitución completa</t>
  </si>
  <si>
    <t>RESPONSABLE B</t>
  </si>
  <si>
    <t>Alta</t>
  </si>
  <si>
    <t>Completado</t>
  </si>
  <si>
    <t>Rodamiento SKF 6205 x4. Equipo regresó a operación el mismo día.</t>
  </si>
  <si>
    <t>Fuga hidráulica en cilindro principal — sellos y manguera</t>
  </si>
  <si>
    <t>20/02/2025</t>
  </si>
  <si>
    <t>RESPONSABLE C</t>
  </si>
  <si>
    <t>Manguera 1/2" x4m + sellos mecánicos x2. Mayor correctivo del año en costo.</t>
  </si>
  <si>
    <t>Desgaste en polipasto — cable de acero y rodamientos de gancho</t>
  </si>
  <si>
    <t>18/03/2025</t>
  </si>
  <si>
    <t>19/03/2025</t>
  </si>
  <si>
    <t>RESPONSABLE A</t>
  </si>
  <si>
    <t>Cable nuevo + rodamientos de gancho. Entrega al día siguiente por tiempo de reparación.</t>
  </si>
  <si>
    <t>Falla eléctrica en fuente de poder — diagnóstico y reparación</t>
  </si>
  <si>
    <t>02/04/2025</t>
  </si>
  <si>
    <t>Fusibles + cable THW. Falla relacionada con PM pendiente de calibración.</t>
  </si>
  <si>
    <t>Reemplazo de sello mecánico — fuga en caudal de salida</t>
  </si>
  <si>
    <t>18/04/2025</t>
  </si>
  <si>
    <t>RESPONSABLE E</t>
  </si>
  <si>
    <t>Media</t>
  </si>
  <si>
    <t>Sello mecánico sustituido. Caudal dentro de parámetros post-reparación.</t>
  </si>
  <si>
    <t>Desalineación severa de banda — corrección de rodillos y guía lateral</t>
  </si>
  <si>
    <t>25/05/2025</t>
  </si>
  <si>
    <t>Tensado y alineación. Monitoreo mensual preventivo activado.</t>
  </si>
  <si>
    <t>Cable de acero nuevo — desgaste progresivo detectado en inspección</t>
  </si>
  <si>
    <t>18/05/2025</t>
  </si>
  <si>
    <t>⚠ POR DEFINIR</t>
  </si>
  <si>
    <t>—</t>
  </si>
  <si>
    <t>Pendiente</t>
  </si>
  <si>
    <t>Pendiente de cotización y presupuesto Q4 2025. Ver MAQUINAS obs. M-007.</t>
  </si>
  <si>
    <t>Revisión mayor Q4 2025 — acumulación de fallas eléctricas en el año</t>
  </si>
  <si>
    <t>Coordinar con proveedor LINCOLN para revisión mayor Q4.</t>
  </si>
  <si>
    <t>Cambio de inyectores Q4 2025 — operación continua 24/7</t>
  </si>
  <si>
    <t>RESPONSABLE D</t>
  </si>
  <si>
    <t>Cambio preventivo-correctivo de inyectores CUMMINS programado Q4.</t>
  </si>
  <si>
    <t>Revisión anual de válvulas Nov 2025 — equipo con 9 años de antigüedad</t>
  </si>
  <si>
    <t>Mayor frecuencia de PM recomendada. Rev. válvulas admisión/descarga Nov 2025.</t>
  </si>
  <si>
    <t>TOTALES EJECUTADOS</t>
  </si>
  <si>
    <t>LEYENDA:</t>
  </si>
  <si>
    <t>✅ Completado</t>
  </si>
  <si>
    <t>⏳ En Proceso</t>
  </si>
  <si>
    <t>⚠ Pendiente</t>
  </si>
  <si>
    <t>⚠ POR DEFINIR = Fecha programada pendiente de asignar</t>
  </si>
  <si>
    <t>REGISTRO DE MÁQUINAS Y EQUIPOS</t>
  </si>
  <si>
    <t>Complete todos los campos. CÓDIGO debe ser único. Estado: Operativo / En Mantenimiento / Fuera de Servicio</t>
  </si>
  <si>
    <t>DATOS GENERALES</t>
  </si>
  <si>
    <t>OPERACIÓN</t>
  </si>
  <si>
    <t>INDICADOR</t>
  </si>
  <si>
    <t>NOTAS</t>
  </si>
  <si>
    <t>TIPO</t>
  </si>
  <si>
    <t>MARCA</t>
  </si>
  <si>
    <t>UBICACIÓN</t>
  </si>
  <si>
    <t>FECHA ADQUIS.</t>
  </si>
  <si>
    <t>ANTIGÜEDAD
(años)</t>
  </si>
  <si>
    <t>HRS/DÍA</t>
  </si>
  <si>
    <t>CRITICIDAD</t>
  </si>
  <si>
    <t>MTTR
(promedio)</t>
  </si>
  <si>
    <t>Mecanizado</t>
  </si>
  <si>
    <t>HAAS</t>
  </si>
  <si>
    <t>Taller A</t>
  </si>
  <si>
    <t>15/03/2019</t>
  </si>
  <si>
    <t>Operativo</t>
  </si>
  <si>
    <t>6 años en servicio. CM correctivo Ene 2025 (rodamiento). Sin paros no programados Q2.</t>
  </si>
  <si>
    <t>FANUC</t>
  </si>
  <si>
    <t>20/07/2018</t>
  </si>
  <si>
    <t>7 años. Fuga hidráulica corregida Feb 2025. Desempeño óptimo post-reparación.</t>
  </si>
  <si>
    <t>Perforación</t>
  </si>
  <si>
    <t>KNUTH</t>
  </si>
  <si>
    <t>Taller B</t>
  </si>
  <si>
    <t>10/01/2020</t>
  </si>
  <si>
    <t>5 años. Rodamiento reemplazado Ene 2025. Monitoreo de vibración cada 15 días.</t>
  </si>
  <si>
    <t>Soldadura</t>
  </si>
  <si>
    <t>LINCOLN</t>
  </si>
  <si>
    <t>05/06/2017</t>
  </si>
  <si>
    <t>8 años. Falla fuente de poder corregida Abr 2025. Próxima rev. mayor Q4 2025.</t>
  </si>
  <si>
    <t>Neumática</t>
  </si>
  <si>
    <t>ATLAS</t>
  </si>
  <si>
    <t>Sala Comp.</t>
  </si>
  <si>
    <t>12/11/2016</t>
  </si>
  <si>
    <t>9 años. Mayor frecuencia de PM. Rev. anual de válvulas programada Nov 2025.</t>
  </si>
  <si>
    <t>Prensado</t>
  </si>
  <si>
    <t>ENERPAC</t>
  </si>
  <si>
    <t>Taller C</t>
  </si>
  <si>
    <t>08/04/2021</t>
  </si>
  <si>
    <t>4 años. Hidráulico en óptimas condiciones. Certificación NOM programada Sep 2025.</t>
  </si>
  <si>
    <t>Izaje</t>
  </si>
  <si>
    <t>DEMAG</t>
  </si>
  <si>
    <t>Nave Ppal</t>
  </si>
  <si>
    <t>30/09/2015</t>
  </si>
  <si>
    <t>10 años. CM polipasto Mar 2025. Cotizar cable nuevo para plan capital 2026.</t>
  </si>
  <si>
    <t>Transporte</t>
  </si>
  <si>
    <t>REXNORD</t>
  </si>
  <si>
    <t>Línea 1</t>
  </si>
  <si>
    <t>22/02/2022</t>
  </si>
  <si>
    <t>3 años. CM desalineación May 2025. Tensado y alineación mensual preventivo.</t>
  </si>
  <si>
    <t>Eléctrico</t>
  </si>
  <si>
    <t>CUMMINS</t>
  </si>
  <si>
    <t>Sala Gen.</t>
  </si>
  <si>
    <t>14/08/2019</t>
  </si>
  <si>
    <t>6 años. Operación 24/7. Cambio de inyectores programado Q4 2025.</t>
  </si>
  <si>
    <t>Hidráulica</t>
  </si>
  <si>
    <t>GRUNDFOS</t>
  </si>
  <si>
    <t>Sala Bom.</t>
  </si>
  <si>
    <t>03/12/2020</t>
  </si>
  <si>
    <t>5 años. Sello mecánico sustituido Abr 2025. Caudal dentro de parámetros.</t>
  </si>
  <si>
    <t>HISTORIAL DE MANTENIMIENTOS — PREVENTIVO Y CORRECTIVO</t>
  </si>
  <si>
    <t>Registre cada intervención. Tipo: TRUE = Preventivo | FALSE = Correctivo. Estado actualiza KPIs automáticamente.</t>
  </si>
  <si>
    <t>PREVENTIVOS</t>
  </si>
  <si>
    <t>CORRECTIVOS</t>
  </si>
  <si>
    <t>COSTO MO TOTAL</t>
  </si>
  <si>
    <t>IDENTIFICACIÓN</t>
  </si>
  <si>
    <t>TIPO Y RESPONSABLE</t>
  </si>
  <si>
    <t>TIEMPOS Y COSTOS</t>
  </si>
  <si>
    <t>NOMBRE</t>
  </si>
  <si>
    <t>AUTORIZACIÓN</t>
  </si>
  <si>
    <t>ID</t>
  </si>
  <si>
    <t>MÁQUINA
(ID)</t>
  </si>
  <si>
    <t>FECHA</t>
  </si>
  <si>
    <t>HORA</t>
  </si>
  <si>
    <t>TIPO
PM=✓ CM=✗</t>
  </si>
  <si>
    <t>REALIZADO
✓/✗</t>
  </si>
  <si>
    <t>TIEMPO
REP.(min)</t>
  </si>
  <si>
    <t>FECHA
ENTREGA</t>
  </si>
  <si>
    <t>DÍAS
PREV.</t>
  </si>
  <si>
    <t>COSTO
M.O.</t>
  </si>
  <si>
    <t>COSTO
INSUMOS</t>
  </si>
  <si>
    <t>EQUIPO
(nombre)</t>
  </si>
  <si>
    <t>HECHO POR</t>
  </si>
  <si>
    <t>AUTORIZADO</t>
  </si>
  <si>
    <t>▶  Ingrese datos desde el formulario (Menú principal) o directamente en esta tabla. Las columnas N a P se calculan automáticamente.</t>
  </si>
  <si>
    <t>08/01/2025</t>
  </si>
  <si>
    <t>08:00</t>
  </si>
  <si>
    <t>Cambio de aceite SAE 40, filtro de motor y puntos de lubricación</t>
  </si>
  <si>
    <t>Ing. Carlos Martínez López</t>
  </si>
  <si>
    <t>09:00</t>
  </si>
  <si>
    <t>Inspección del sistema hidráulico y verificación de nivel de aceite</t>
  </si>
  <si>
    <t>10:00</t>
  </si>
  <si>
    <t>Limpieza de filtros separadores y revisión del sistema de ventilación</t>
  </si>
  <si>
    <t>08:30</t>
  </si>
  <si>
    <t>Inspección estructural completa, soldaduras y cables de acero del polipasto</t>
  </si>
  <si>
    <t>07:00</t>
  </si>
  <si>
    <t>CORRECTIVO: Rodamiento principal con desgaste severo — sustitución completa</t>
  </si>
  <si>
    <t>05/02/2025</t>
  </si>
  <si>
    <t>Inspección eléctrica general y ajuste fino de parámetros CNC</t>
  </si>
  <si>
    <t>07/02/2025</t>
  </si>
  <si>
    <t>Inspección sistema hidráulico — sellos, válvulas y presión del circuito</t>
  </si>
  <si>
    <t>10/02/2025</t>
  </si>
  <si>
    <t>Inspección eléctrica del tablero, cableado y terminales del generador</t>
  </si>
  <si>
    <t>14/02/2025</t>
  </si>
  <si>
    <t>09:30</t>
  </si>
  <si>
    <t>Inspección de mordazas, soldaduras y calibración de parámetros MIG</t>
  </si>
  <si>
    <t>CORRECTIVO: Fuga hidráulica en cilindro principal — sellos y manguera</t>
  </si>
  <si>
    <t>25/02/2025</t>
  </si>
  <si>
    <t>Lubricación general de rodillos, tambor motriz y estructura de banda</t>
  </si>
  <si>
    <t>28/02/2025</t>
  </si>
  <si>
    <t>Inspección de sellos mecánicos, impulsores y verificación de caudal</t>
  </si>
  <si>
    <t>Cambio de aceite de motor SAE 40 — ciclo mensual y engrase de puntos</t>
  </si>
  <si>
    <t>15/03/2025</t>
  </si>
  <si>
    <t>Revisión y cambio de aceite del compresor, filtro de línea y trampa</t>
  </si>
  <si>
    <t>CORRECTIVO: Desgaste en polipasto — cable de acero y rodamientos de gancho</t>
  </si>
  <si>
    <t>22/03/2025</t>
  </si>
  <si>
    <t>Limpieza de filtros de refrigerante y revisión de bomba de enfriamiento</t>
  </si>
  <si>
    <t>25/03/2025</t>
  </si>
  <si>
    <t>Revisión de correas trapezoidales, poleas y tensión de aprietes</t>
  </si>
  <si>
    <t>CORRECTIVO: Diagnóstico y reparación de falla eléctrica en fuente de poder</t>
  </si>
  <si>
    <t>05/04/2025</t>
  </si>
  <si>
    <t>Lubricación de guías lineales, husillos esféricos y mesa de trabajo</t>
  </si>
  <si>
    <t>Revisión y tensado de correa transportadora y alineación de rodillos</t>
  </si>
  <si>
    <t>15/04/2025</t>
  </si>
  <si>
    <t>Cambio de aceite de motor, filtro de combustible y revisión de alternador</t>
  </si>
  <si>
    <t>CORRECTIVO: Reemplazo de sello mecánico — fuga en caudal de salida</t>
  </si>
  <si>
    <t>25/04/2025</t>
  </si>
  <si>
    <t>Calibración de parámetros CNC, compensaciones de herramienta y ciclo de prueba</t>
  </si>
  <si>
    <t>03/05/2025</t>
  </si>
  <si>
    <t>Limpieza de filtros separadores de agua-aceite y revisión de válvulas de alivio</t>
  </si>
  <si>
    <t>06/05/2025</t>
  </si>
  <si>
    <t>Inspección de cilindro hidráulico, válvulas de control y presión del sistema</t>
  </si>
  <si>
    <t>10/05/2025</t>
  </si>
  <si>
    <t>Revisión de tablero de control, finales de carrera y limitadores de sobrecarga</t>
  </si>
  <si>
    <t>12/05/2025</t>
  </si>
  <si>
    <t>Revisión del sistema de frenos neumático y mecanismo de parada de emergencia</t>
  </si>
  <si>
    <t>15/05/2025</t>
  </si>
  <si>
    <t>Inspección del sistema hidráulico, nivel de aceite y filtros de retorno</t>
  </si>
  <si>
    <t>20/05/2025</t>
  </si>
  <si>
    <t>Calibración de amperaje, voltaje de arco y parámetros de alimentación de alambre</t>
  </si>
  <si>
    <t>CORRECTIVO: Desalineación severa de banda — corrección de rodillos y guía lateral</t>
  </si>
  <si>
    <t>REGISTRO DE INSUMOS Y REPUESTOS POR MANTENIMIENTO</t>
  </si>
  <si>
    <t>Cada fila = un material usado en un mantenimiento. Vinculado automáticamente con ALMACEN.</t>
  </si>
  <si>
    <t>ID
MANT.</t>
  </si>
  <si>
    <t>COD.
REPUESTO</t>
  </si>
  <si>
    <t>DESCRIPCIÓN</t>
  </si>
  <si>
    <t>CANTIDAD</t>
  </si>
  <si>
    <t>PRECIO
UNIT.</t>
  </si>
  <si>
    <t>SUBTOTAL</t>
  </si>
  <si>
    <t>ESTADO
INVENT.</t>
  </si>
  <si>
    <t>▶  Ingrese manualmente o use el formulario. SUBTOTAL = Cantidad × Precio Unit. | Estado Inventario se actualiza al descontar de ALMACEN.</t>
  </si>
  <si>
    <t>REP-001</t>
  </si>
  <si>
    <t>Aceite de motor SAE 40</t>
  </si>
  <si>
    <t>✔ OK</t>
  </si>
  <si>
    <t>REP-005</t>
  </si>
  <si>
    <t>Grasa industrial Alvania</t>
  </si>
  <si>
    <t>REP-007</t>
  </si>
  <si>
    <t>Manguera hidráulica 1/2"</t>
  </si>
  <si>
    <t>⚠ BAJO</t>
  </si>
  <si>
    <t>REP-008</t>
  </si>
  <si>
    <t>Sello mecánico bomba</t>
  </si>
  <si>
    <t>REP-002</t>
  </si>
  <si>
    <t>Filtro de aire industrial</t>
  </si>
  <si>
    <t>REP-006</t>
  </si>
  <si>
    <t>Fusible 32A industrial</t>
  </si>
  <si>
    <t>REP-009</t>
  </si>
  <si>
    <t>Cable eléctrico THW 14AWG</t>
  </si>
  <si>
    <t>REP-003</t>
  </si>
  <si>
    <t>Rodamiento SKF 6205</t>
  </si>
  <si>
    <t>REP-010</t>
  </si>
  <si>
    <t>Perno hexagonal M12x40</t>
  </si>
  <si>
    <t>REP-004</t>
  </si>
  <si>
    <t>Correa trapezoidal B-80</t>
  </si>
  <si>
    <t>TOTAL DE INSUMOS REGISTRADOS</t>
  </si>
  <si>
    <t>ACTIVIDADES REALIZADAS POR MANTENIMIENTO</t>
  </si>
  <si>
    <t>Registre cada actividad ejecutada en cada intervención de mantenimiento.</t>
  </si>
  <si>
    <t>COD.
ACTIVIDAD</t>
  </si>
  <si>
    <t>DESCRIPCIÓN DE LA ACTIVIDAD</t>
  </si>
  <si>
    <t>▶  Una fila por actividad. El ID de Mantenimiento debe coincidir con la hoja MANTENIMIENTOS.</t>
  </si>
  <si>
    <t>ACT-001</t>
  </si>
  <si>
    <t>Preventivo</t>
  </si>
  <si>
    <t>ACT-007</t>
  </si>
  <si>
    <t>ACT-015</t>
  </si>
  <si>
    <t>Prueba de funcionamiento y ajuste final</t>
  </si>
  <si>
    <t>ACT-002</t>
  </si>
  <si>
    <t>ACT-017</t>
  </si>
  <si>
    <t>Reemplazo de sellos y empaques</t>
  </si>
  <si>
    <t>ACT-003</t>
  </si>
  <si>
    <t>ACT-009</t>
  </si>
  <si>
    <t>ACT-006</t>
  </si>
  <si>
    <t>ACT-018</t>
  </si>
  <si>
    <t>Verificación de torques y ajuste estructural</t>
  </si>
  <si>
    <t>ACT-011</t>
  </si>
  <si>
    <t>Cambio de rodamientos</t>
  </si>
  <si>
    <t>Correctivo</t>
  </si>
  <si>
    <t>ACT-014</t>
  </si>
  <si>
    <t>Alineación y balanceo</t>
  </si>
  <si>
    <t>ACT-005</t>
  </si>
  <si>
    <t>ACT-010</t>
  </si>
  <si>
    <t>ACT-012</t>
  </si>
  <si>
    <t>Reparación de fuga hidráulica</t>
  </si>
  <si>
    <t>ACT-004</t>
  </si>
  <si>
    <t>ACT-016</t>
  </si>
  <si>
    <t>Diagnóstico de falla eléctrica</t>
  </si>
  <si>
    <t>ACT-013</t>
  </si>
  <si>
    <t>Reemplazo de componentes eléctricos</t>
  </si>
  <si>
    <t>ACT-008</t>
  </si>
  <si>
    <t>ANÁLISIS Y CONTROL DE COSTOS DE MANTENIMIENTO</t>
  </si>
  <si>
    <t>Los datos se calculan automáticamente desde MANTENIMIENTOS y PM. Costos en moneda local (MXN).</t>
  </si>
  <si>
    <t>COSTO MO
TOTAL</t>
  </si>
  <si>
    <t>COSTO INSUMOS
TOTAL</t>
  </si>
  <si>
    <t>COSTO TOTAL
MANTENIMIENTO</t>
  </si>
  <si>
    <t>MANTENIMIENTOS
REGISTRADOS</t>
  </si>
  <si>
    <t>COSTO PROMEDIO
POR EVENTO</t>
  </si>
  <si>
    <t># MANTENIMIENTOS</t>
  </si>
  <si>
    <t>COSTO M.O.</t>
  </si>
  <si>
    <t>COSTO INSUMOS</t>
  </si>
  <si>
    <t>% DEL TOTAL</t>
  </si>
  <si>
    <t>COSTO PROM/EVENTO</t>
  </si>
  <si>
    <t>CLASIFICACIÓN</t>
  </si>
  <si>
    <t>TOTALES</t>
  </si>
  <si>
    <t>ANÁLISIS DE TIEMPO EN MANTENIMIENTO CORRECTIVO — 2025</t>
  </si>
  <si>
    <t>Base: 2,080 horas anuales de operación total  |  % = Horas correctivo ÷ 2,080 hrs</t>
  </si>
  <si>
    <t>HORAS ANUALES
OPERACIÓN</t>
  </si>
  <si>
    <t>TOTAL MIN
CORRECTIVO</t>
  </si>
  <si>
    <t>TOTAL HRS
CORRECTIVO</t>
  </si>
  <si>
    <t>% TIEMPO EN
CORRECTIVO</t>
  </si>
  <si>
    <t>CORRECTIVOS
EJECUTADOS</t>
  </si>
  <si>
    <t>TIEMPO CM
(minutos)</t>
  </si>
  <si>
    <t>TIEMPO CM
(horas)</t>
  </si>
  <si>
    <t>% DEL TOTAL
2,080 HRS</t>
  </si>
  <si>
    <t># CORRECTIVOS
EJECUTADOS</t>
  </si>
  <si>
    <t>COSTO TOTAL
CORRECTIVO ($)</t>
  </si>
  <si>
    <t>COSTO POR
HORA ($)</t>
  </si>
  <si>
    <t>✅ Sin paro</t>
  </si>
  <si>
    <t>🔶 Alto</t>
  </si>
  <si>
    <t>🔴 Crítico</t>
  </si>
  <si>
    <t>⚠ Moderado</t>
  </si>
  <si>
    <t>TOTAL PLANTA</t>
  </si>
  <si>
    <t>1.01% del tiempo total de operación</t>
  </si>
  <si>
    <t>Referencia clase mundial: ≤ 5% tiempo en correctivo. Planta actual: 1.01% ✅</t>
  </si>
  <si>
    <t>COTIZACIÓN DE MANTENIMIENTO</t>
  </si>
  <si>
    <t>N° COTIZACIÓN:</t>
  </si>
  <si>
    <t>COT-2025-001</t>
  </si>
  <si>
    <t>FECHA:</t>
  </si>
  <si>
    <t>DATOS DEL PROVEEDOR</t>
  </si>
  <si>
    <t>DATOS DEL CLIENTE</t>
  </si>
  <si>
    <t>Razón Social:</t>
  </si>
  <si>
    <t>Industrias Metálicas del Centro S.A. de C.V.</t>
  </si>
  <si>
    <t>Dirección:</t>
  </si>
  <si>
    <t>Calle, Col., Ciudad</t>
  </si>
  <si>
    <t>Blvd. Norte 2280, Parque Industrial Puebla 2000</t>
  </si>
  <si>
    <t>Tel:</t>
  </si>
  <si>
    <t>55-0000-0000</t>
  </si>
  <si>
    <t>Contacto:</t>
  </si>
  <si>
    <t>Ing. Roberto Sánchez — Gerencia de Planta</t>
  </si>
  <si>
    <t>Correo:</t>
  </si>
  <si>
    <t>correo@empresa.com</t>
  </si>
  <si>
    <t>222 234-5678</t>
  </si>
  <si>
    <t>EQUIPO:</t>
  </si>
  <si>
    <t>TIPO MANTENIMIENTO:</t>
  </si>
  <si>
    <t>CÓDIGO:</t>
  </si>
  <si>
    <t>VIGENCIA COTIZ.:</t>
  </si>
  <si>
    <t>DESCRIPCIÓN DE LA ACTIVIDAD / CONCEPTO</t>
  </si>
  <si>
    <t>TIEMPO
(hrs)</t>
  </si>
  <si>
    <t>COSTO
UNIT.</t>
  </si>
  <si>
    <t>IVA 16%</t>
  </si>
  <si>
    <t>TOTAL</t>
  </si>
  <si>
    <t xml:space="preserve"> </t>
  </si>
  <si>
    <t>M.O.: Cambio de aceite SAE 40 y limpieza de componentes internos</t>
  </si>
  <si>
    <t>M.O.: Inspección eléctrica general y ajuste de tablero CNC</t>
  </si>
  <si>
    <t>M.O.: Lubricación de guías lineales, carros y sistema de avance</t>
  </si>
  <si>
    <t>M.O.: Calibración de parámetros, compensaciones y ciclo de prueba CNC</t>
  </si>
  <si>
    <t>M.O.: Revisión de carro principal, torreta y sujeción de herramienta</t>
  </si>
  <si>
    <t>Material: Aceite de motor SAE 40 — 2 litros</t>
  </si>
  <si>
    <t>Material</t>
  </si>
  <si>
    <t>Material: Filtro de aceite industrial</t>
  </si>
  <si>
    <t>Material: Grasa para guías Alvania — 500 g</t>
  </si>
  <si>
    <t>Material: Fusibles industriales 32A — juego de 4 piezas</t>
  </si>
  <si>
    <t>M.O.: Verificación final, prueba de ciclo y reporte técnico escrito</t>
  </si>
  <si>
    <t>SUBTOTAL:</t>
  </si>
  <si>
    <t>IVA (16%):</t>
  </si>
  <si>
    <t>TOTAL COTIZACIÓN:</t>
  </si>
  <si>
    <t>NOTAS Y CONDICIONES:</t>
  </si>
  <si>
    <t>1. Esta cotización es válida por 30 días a partir de la fecha de emisión.</t>
  </si>
  <si>
    <t>Jefe de Mantenimiento</t>
  </si>
  <si>
    <t>4. Se requiere orden de compra o contrato firmado para inicio de trabajos.</t>
  </si>
  <si>
    <t>____________________________________</t>
  </si>
  <si>
    <t>ELABORÓ</t>
  </si>
  <si>
    <t>AUTORIZÓ</t>
  </si>
  <si>
    <t>INFORME INDIVIDUAL DE INDICADORES POR EQUIPO</t>
  </si>
  <si>
    <t>Ingrese el Código del Equipo en la celda amarilla para filtrar su informe.</t>
  </si>
  <si>
    <t>▶ Código de Equipo:</t>
  </si>
  <si>
    <t>PROGRAMADOS</t>
  </si>
  <si>
    <t>EJECUTADOS</t>
  </si>
  <si>
    <t>REPROGRAMADOS</t>
  </si>
  <si>
    <t>NO EJECUTADOS</t>
  </si>
  <si>
    <t>DETALLE DE ACTIVIDADES DEL EQUIPO</t>
  </si>
  <si>
    <t>FREC.</t>
  </si>
  <si>
    <t>TIPO FREC.</t>
  </si>
  <si>
    <t>DÍAS FALT.</t>
  </si>
  <si>
    <t>OBSERV.</t>
  </si>
  <si>
    <t>BASE DE DATOS — CATÁLOGOS DEL SISTEMA</t>
  </si>
  <si>
    <t>ACTIVIDADES DE MANTENIMIENTO</t>
  </si>
  <si>
    <t>RESPONSABLES Y ÁREAS</t>
  </si>
  <si>
    <t>MODOS DE FALLO</t>
  </si>
  <si>
    <t>DESCRIPCIÓN DE ACTIVIDAD</t>
  </si>
  <si>
    <t>ÁREA</t>
  </si>
  <si>
    <t>FCM-01</t>
  </si>
  <si>
    <t>Fallos Componentes Mecánicos</t>
  </si>
  <si>
    <t>FCM-02</t>
  </si>
  <si>
    <t>Fallos Componentes Hidráulicos</t>
  </si>
  <si>
    <t>FCM-03</t>
  </si>
  <si>
    <t>Fallos Componentes Neumáticos</t>
  </si>
  <si>
    <t>FCM-04</t>
  </si>
  <si>
    <t>Fallos Componentes Eléctricos</t>
  </si>
  <si>
    <t>Hidráulico</t>
  </si>
  <si>
    <t>FCM-05</t>
  </si>
  <si>
    <t>Fallos por Desgaste</t>
  </si>
  <si>
    <t>FCM-06</t>
  </si>
  <si>
    <t>Fallos por Corrosión</t>
  </si>
  <si>
    <t>FCM-07</t>
  </si>
  <si>
    <t>Fallos por Fatiga</t>
  </si>
  <si>
    <t>ALMACÉN — CONTROL DE REPUESTOS Y MATERIALES</t>
  </si>
  <si>
    <t>El stock se descuenta automáticamente al registrar insumos en PM. Alerta automática cuando stock &lt; mínimo.</t>
  </si>
  <si>
    <t>VALOR TOTAL INVENTARIO</t>
  </si>
  <si>
    <t>ARTÍCULOS TOTALES</t>
  </si>
  <si>
    <t>ARTÍCULOS BAJO MÍNIMO</t>
  </si>
  <si>
    <t>ARTÍCULOS AGOTADOS</t>
  </si>
  <si>
    <t>CATEGORÍA</t>
  </si>
  <si>
    <t>UNIDAD</t>
  </si>
  <si>
    <t>STOCK
MÍN.</t>
  </si>
  <si>
    <t>STOCK
ACTUAL</t>
  </si>
  <si>
    <t>VALOR
TOTAL</t>
  </si>
  <si>
    <t>Lubricantes</t>
  </si>
  <si>
    <t>Litro</t>
  </si>
  <si>
    <t>Rack A-1</t>
  </si>
  <si>
    <t>Filtros</t>
  </si>
  <si>
    <t>Unid.</t>
  </si>
  <si>
    <t>Rack A-2</t>
  </si>
  <si>
    <t>Rodamientos</t>
  </si>
  <si>
    <t>Rack B-1</t>
  </si>
  <si>
    <t>Correas</t>
  </si>
  <si>
    <t>Rack B-2</t>
  </si>
  <si>
    <t>Kg</t>
  </si>
  <si>
    <t>Rack C-1</t>
  </si>
  <si>
    <t>Metro</t>
  </si>
  <si>
    <t>Rack C-2</t>
  </si>
  <si>
    <t>Sellos</t>
  </si>
  <si>
    <t>Rack B-3</t>
  </si>
  <si>
    <t>Ferretería</t>
  </si>
  <si>
    <t>Rack D-1</t>
  </si>
  <si>
    <t>REP-011</t>
  </si>
  <si>
    <t>Filtro de aceite de motor</t>
  </si>
  <si>
    <t>Rack A-3</t>
  </si>
  <si>
    <t>REP-012</t>
  </si>
  <si>
    <t>Válvula de alivio hidráulica</t>
  </si>
  <si>
    <t>Rack C-3</t>
  </si>
  <si>
    <t>REP-013</t>
  </si>
  <si>
    <t>Kit de sellos y juntas universales</t>
  </si>
  <si>
    <t>Juego</t>
  </si>
  <si>
    <t>Rack B-4</t>
  </si>
  <si>
    <t>REP-014</t>
  </si>
  <si>
    <t>Aceite hidráulico ISO 46</t>
  </si>
  <si>
    <t>REP-015</t>
  </si>
  <si>
    <t>Interruptor termomagnético 40A</t>
  </si>
  <si>
    <t>VALOR TOTAL DEL INVENTARIO</t>
  </si>
  <si>
    <t>TIEMPO(MIN)</t>
  </si>
  <si>
    <t>Campo</t>
  </si>
  <si>
    <t>Valor</t>
  </si>
  <si>
    <t>EstadosMaq</t>
  </si>
  <si>
    <t>TiposMant</t>
  </si>
  <si>
    <t>FreqTipos</t>
  </si>
  <si>
    <t>EstadosProg</t>
  </si>
  <si>
    <t>Responsables</t>
  </si>
  <si>
    <t>Areas</t>
  </si>
  <si>
    <t>TiposEquip</t>
  </si>
  <si>
    <t>Planta Puebla — Nave de Producción</t>
  </si>
  <si>
    <t>En Mantenimiento</t>
  </si>
  <si>
    <t>Fuera de Servicio</t>
  </si>
  <si>
    <t>Meta Cumplimiento:</t>
  </si>
  <si>
    <t>Meta Efectividad: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</si>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</sst>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%"/>
    <numFmt numFmtId="165" formatCode="\$#,##0.00"/>
    <numFmt numFmtId="166" formatCode="m/d/yyyy"/>
    <numFmt numFmtId="167" formatCode="0&quot; días&quot;"/>
    <numFmt numFmtId="168" formatCode="mm/dd/yy"/>
    <numFmt numFmtId="169" formatCode="0&quot; años&quot;"/>
    <numFmt numFmtId="170" formatCode="0&quot; min&quot;"/>
    <numFmt numFmtId="171" formatCode="#,##0.0"/>
    <numFmt numFmtId="172" formatCode="&quot;$&quot;#,##0.00"/>
  </numFmts>
  <fonts count="45" x14ac:knownFonts="1">
    <font>
      <sz val="11"/>
      <color theme="1"/>
      <name val="Calibri"/>
      <family val="2"/>
      <charset val="1"/>
    </font>
    <font>
      <b/>
      <sz val="16"/>
      <color rgb="FFF2F2F2"/>
      <name val="Calibri"/>
      <charset val="1"/>
    </font>
    <font>
      <b/>
      <sz val="18"/>
      <color rgb="FFFFFFFF"/>
      <name val="Calibri"/>
      <charset val="1"/>
    </font>
    <font>
      <b/>
      <sz val="26"/>
      <color rgb="FF1E3A5F"/>
      <name val="Calibri"/>
      <charset val="1"/>
    </font>
    <font>
      <i/>
      <sz val="13"/>
      <color rgb="FF2E75B6"/>
      <name val="Calibri"/>
      <charset val="1"/>
    </font>
    <font>
      <b/>
      <sz val="11"/>
      <color rgb="FF1E3A5F"/>
      <name val="Calibri"/>
      <charset val="1"/>
    </font>
    <font>
      <sz val="11"/>
      <color rgb="FF595959"/>
      <name val="Calibri"/>
      <charset val="1"/>
    </font>
    <font>
      <b/>
      <sz val="10"/>
      <color rgb="FFFFFFFF"/>
      <name val="Calibri"/>
      <charset val="1"/>
    </font>
    <font>
      <sz val="10"/>
      <color rgb="FF595959"/>
      <name val="Calibri"/>
      <charset val="1"/>
    </font>
    <font>
      <i/>
      <sz val="9"/>
      <color rgb="FFBDD7EE"/>
      <name val="Calibri"/>
      <charset val="1"/>
    </font>
    <font>
      <b/>
      <sz val="14"/>
      <color rgb="FFFFFFFF"/>
      <name val="Calibri"/>
      <charset val="1"/>
    </font>
    <font>
      <sz val="9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000000"/>
      <name val="Calibri"/>
      <charset val="1"/>
    </font>
    <font>
      <b/>
      <sz val="13"/>
      <color rgb="FFFFFFFF"/>
      <name val="Calibri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2E75B6"/>
      <name val="Calibri"/>
      <charset val="1"/>
    </font>
    <font>
      <b/>
      <sz val="12"/>
      <color rgb="FFFFFFFF"/>
      <name val="Calibri"/>
      <charset val="1"/>
    </font>
    <font>
      <b/>
      <sz val="22"/>
      <color rgb="FFFFFFFF"/>
      <name val="Calibri"/>
      <charset val="1"/>
    </font>
    <font>
      <b/>
      <sz val="10"/>
      <color rgb="FF1E3A5F"/>
      <name val="Calibri"/>
      <charset val="1"/>
    </font>
    <font>
      <b/>
      <sz val="10"/>
      <color rgb="FFF47B20"/>
      <name val="Calibri"/>
      <charset val="1"/>
    </font>
    <font>
      <b/>
      <sz val="10"/>
      <color rgb="FF000000"/>
      <name val="Calibri"/>
      <charset val="1"/>
    </font>
    <font>
      <b/>
      <sz val="10"/>
      <color rgb="FF595959"/>
      <name val="Calibri"/>
      <charset val="1"/>
    </font>
    <font>
      <i/>
      <sz val="9"/>
      <color rgb="FF595959"/>
      <name val="Calibri"/>
      <charset val="1"/>
    </font>
    <font>
      <b/>
      <sz val="14"/>
      <color rgb="FF2E75B6"/>
      <name val="Calibri"/>
      <charset val="1"/>
    </font>
    <font>
      <b/>
      <sz val="16"/>
      <color rgb="FF000000"/>
      <name val="Calibri"/>
      <charset val="1"/>
    </font>
    <font>
      <b/>
      <sz val="13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rgb="FF1E3A5F"/>
        <bgColor rgb="FF1F3864"/>
      </patternFill>
    </fill>
    <fill>
      <patternFill patternType="solid">
        <fgColor rgb="FF2E75B6"/>
        <bgColor rgb="FF4F81BD"/>
      </patternFill>
    </fill>
    <fill>
      <patternFill patternType="solid">
        <fgColor rgb="FFF47B20"/>
        <bgColor rgb="FFFF9900"/>
      </patternFill>
    </fill>
    <fill>
      <patternFill patternType="solid">
        <fgColor rgb="FFF2F2F2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27AE60"/>
        <bgColor rgb="FF70AD47"/>
      </patternFill>
    </fill>
    <fill>
      <patternFill patternType="solid">
        <fgColor rgb="FFC00000"/>
        <bgColor rgb="FFFF0000"/>
      </patternFill>
    </fill>
    <fill>
      <patternFill patternType="solid">
        <fgColor rgb="FF595959"/>
        <bgColor rgb="FF8064A2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1E3A5F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0A0"/>
        <bgColor rgb="FFFFF2CC"/>
      </patternFill>
    </fill>
    <fill>
      <patternFill patternType="solid">
        <fgColor rgb="FFFFD966"/>
        <bgColor rgb="FFFFF0A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0">
    <xf numFmtId="0" fontId="0" fillId="0" borderId="0" xfId="0" applyAlignment="1"/>
    <xf numFmtId="0" fontId="0" fillId="0" borderId="0" xfId="0" applyAlignment="1"/>
    <xf numFmtId="0" fontId="0" fillId="2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5" fillId="5" borderId="0" xfId="0" applyFont="1" applyFill="1" applyAlignment="1">
      <alignment horizontal="right" vertical="center"/>
    </xf>
    <xf numFmtId="0" fontId="15" fillId="3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/>
    </xf>
    <xf numFmtId="164" fontId="16" fillId="10" borderId="3" xfId="0" applyNumberFormat="1" applyFont="1" applyFill="1" applyBorder="1" applyAlignment="1">
      <alignment horizontal="center" vertical="center"/>
    </xf>
    <xf numFmtId="165" fontId="16" fillId="10" borderId="3" xfId="0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164" fontId="16" fillId="5" borderId="3" xfId="0" applyNumberFormat="1" applyFont="1" applyFill="1" applyBorder="1" applyAlignment="1">
      <alignment horizontal="center" vertical="center"/>
    </xf>
    <xf numFmtId="165" fontId="16" fillId="5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/>
    <xf numFmtId="0" fontId="15" fillId="2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/>
    </xf>
    <xf numFmtId="9" fontId="0" fillId="10" borderId="3" xfId="0" applyNumberFormat="1" applyFill="1" applyBorder="1" applyAlignment="1">
      <alignment horizontal="center" vertical="center"/>
    </xf>
    <xf numFmtId="166" fontId="0" fillId="10" borderId="3" xfId="0" applyNumberFormat="1" applyFill="1" applyBorder="1" applyAlignment="1">
      <alignment horizontal="center" vertical="center"/>
    </xf>
    <xf numFmtId="167" fontId="0" fillId="10" borderId="3" xfId="0" applyNumberForma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9" fontId="0" fillId="5" borderId="3" xfId="0" applyNumberForma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7" fontId="0" fillId="5" borderId="3" xfId="0" applyNumberFormat="1" applyFill="1" applyBorder="1" applyAlignment="1">
      <alignment horizontal="center" vertical="center"/>
    </xf>
    <xf numFmtId="168" fontId="0" fillId="0" borderId="0" xfId="0" applyNumberFormat="1" applyAlignment="1"/>
    <xf numFmtId="0" fontId="20" fillId="3" borderId="5" xfId="0" applyFont="1" applyFill="1" applyBorder="1" applyAlignment="1">
      <alignment horizontal="center" vertical="center"/>
    </xf>
    <xf numFmtId="164" fontId="21" fillId="5" borderId="5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left" vertical="center" wrapText="1"/>
    </xf>
    <xf numFmtId="0" fontId="24" fillId="12" borderId="5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left" vertical="center"/>
    </xf>
    <xf numFmtId="0" fontId="23" fillId="13" borderId="5" xfId="0" applyFont="1" applyFill="1" applyBorder="1" applyAlignment="1">
      <alignment horizontal="center" vertical="center"/>
    </xf>
    <xf numFmtId="3" fontId="24" fillId="12" borderId="5" xfId="0" applyNumberFormat="1" applyFont="1" applyFill="1" applyBorder="1" applyAlignment="1">
      <alignment horizontal="center" vertical="center"/>
    </xf>
    <xf numFmtId="165" fontId="24" fillId="12" borderId="5" xfId="0" applyNumberFormat="1" applyFont="1" applyFill="1" applyBorder="1" applyAlignment="1">
      <alignment horizontal="center" vertical="center"/>
    </xf>
    <xf numFmtId="165" fontId="25" fillId="12" borderId="5" xfId="0" applyNumberFormat="1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left" vertical="center" wrapText="1"/>
    </xf>
    <xf numFmtId="0" fontId="24" fillId="13" borderId="5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left" vertical="center"/>
    </xf>
    <xf numFmtId="3" fontId="24" fillId="13" borderId="5" xfId="0" applyNumberFormat="1" applyFont="1" applyFill="1" applyBorder="1" applyAlignment="1">
      <alignment horizontal="center" vertical="center"/>
    </xf>
    <xf numFmtId="165" fontId="24" fillId="13" borderId="5" xfId="0" applyNumberFormat="1" applyFont="1" applyFill="1" applyBorder="1" applyAlignment="1">
      <alignment horizontal="center" vertical="center"/>
    </xf>
    <xf numFmtId="165" fontId="26" fillId="11" borderId="5" xfId="0" applyNumberFormat="1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24" fillId="14" borderId="5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16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9" fontId="16" fillId="5" borderId="3" xfId="0" applyNumberFormat="1" applyFont="1" applyFill="1" applyBorder="1" applyAlignment="1">
      <alignment horizontal="center" vertical="center"/>
    </xf>
    <xf numFmtId="170" fontId="16" fillId="5" borderId="3" xfId="0" applyNumberFormat="1" applyFont="1" applyFill="1" applyBorder="1" applyAlignment="1">
      <alignment horizontal="center" vertical="center"/>
    </xf>
    <xf numFmtId="166" fontId="16" fillId="10" borderId="3" xfId="0" applyNumberFormat="1" applyFont="1" applyFill="1" applyBorder="1" applyAlignment="1">
      <alignment horizontal="center" vertical="center"/>
    </xf>
    <xf numFmtId="0" fontId="0" fillId="10" borderId="3" xfId="0" applyFill="1" applyBorder="1" applyAlignment="1"/>
    <xf numFmtId="166" fontId="16" fillId="5" borderId="3" xfId="0" applyNumberFormat="1" applyFont="1" applyFill="1" applyBorder="1" applyAlignment="1">
      <alignment horizontal="center" vertical="center"/>
    </xf>
    <xf numFmtId="0" fontId="0" fillId="5" borderId="3" xfId="0" applyFill="1" applyBorder="1" applyAlignment="1"/>
    <xf numFmtId="165" fontId="0" fillId="10" borderId="3" xfId="0" applyNumberFormat="1" applyFill="1" applyBorder="1" applyAlignment="1"/>
    <xf numFmtId="165" fontId="0" fillId="5" borderId="3" xfId="0" applyNumberFormat="1" applyFill="1" applyBorder="1" applyAlignment="1"/>
    <xf numFmtId="0" fontId="7" fillId="2" borderId="0" xfId="0" applyFont="1" applyFill="1" applyAlignment="1">
      <alignment horizontal="right" vertical="center"/>
    </xf>
    <xf numFmtId="165" fontId="14" fillId="2" borderId="0" xfId="0" applyNumberFormat="1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65" fontId="14" fillId="2" borderId="3" xfId="0" applyNumberFormat="1" applyFont="1" applyFill="1" applyBorder="1" applyAlignment="1">
      <alignment horizontal="center" vertical="center"/>
    </xf>
    <xf numFmtId="0" fontId="39" fillId="18" borderId="11" xfId="0" applyFont="1" applyFill="1" applyBorder="1" applyAlignment="1">
      <alignment horizontal="center" vertical="center" wrapText="1"/>
    </xf>
    <xf numFmtId="0" fontId="41" fillId="20" borderId="11" xfId="0" applyFont="1" applyFill="1" applyBorder="1" applyAlignment="1">
      <alignment horizontal="center" vertical="center"/>
    </xf>
    <xf numFmtId="0" fontId="42" fillId="20" borderId="11" xfId="0" applyFont="1" applyFill="1" applyBorder="1" applyAlignment="1">
      <alignment horizontal="left" vertical="center" wrapText="1"/>
    </xf>
    <xf numFmtId="3" fontId="42" fillId="20" borderId="11" xfId="0" applyNumberFormat="1" applyFont="1" applyFill="1" applyBorder="1" applyAlignment="1">
      <alignment horizontal="center" vertical="center"/>
    </xf>
    <xf numFmtId="171" fontId="42" fillId="20" borderId="11" xfId="0" applyNumberFormat="1" applyFont="1" applyFill="1" applyBorder="1" applyAlignment="1">
      <alignment horizontal="center" vertical="center"/>
    </xf>
    <xf numFmtId="10" fontId="42" fillId="20" borderId="11" xfId="0" applyNumberFormat="1" applyFont="1" applyFill="1" applyBorder="1" applyAlignment="1">
      <alignment horizontal="center" vertical="center"/>
    </xf>
    <xf numFmtId="0" fontId="42" fillId="20" borderId="11" xfId="0" applyFont="1" applyFill="1" applyBorder="1" applyAlignment="1">
      <alignment horizontal="center" vertical="center"/>
    </xf>
    <xf numFmtId="172" fontId="42" fillId="20" borderId="11" xfId="0" applyNumberFormat="1" applyFont="1" applyFill="1" applyBorder="1" applyAlignment="1">
      <alignment horizontal="center" vertical="center"/>
    </xf>
    <xf numFmtId="0" fontId="41" fillId="21" borderId="11" xfId="0" applyFont="1" applyFill="1" applyBorder="1" applyAlignment="1">
      <alignment horizontal="center" vertical="center"/>
    </xf>
    <xf numFmtId="0" fontId="42" fillId="21" borderId="11" xfId="0" applyFont="1" applyFill="1" applyBorder="1" applyAlignment="1">
      <alignment horizontal="left" vertical="center" wrapText="1"/>
    </xf>
    <xf numFmtId="3" fontId="42" fillId="21" borderId="11" xfId="0" applyNumberFormat="1" applyFont="1" applyFill="1" applyBorder="1" applyAlignment="1">
      <alignment horizontal="center" vertical="center"/>
    </xf>
    <xf numFmtId="171" fontId="42" fillId="21" borderId="11" xfId="0" applyNumberFormat="1" applyFont="1" applyFill="1" applyBorder="1" applyAlignment="1">
      <alignment horizontal="center" vertical="center"/>
    </xf>
    <xf numFmtId="10" fontId="42" fillId="21" borderId="11" xfId="0" applyNumberFormat="1" applyFont="1" applyFill="1" applyBorder="1" applyAlignment="1">
      <alignment horizontal="center" vertical="center"/>
    </xf>
    <xf numFmtId="0" fontId="42" fillId="21" borderId="11" xfId="0" applyFont="1" applyFill="1" applyBorder="1" applyAlignment="1">
      <alignment horizontal="center" vertical="center"/>
    </xf>
    <xf numFmtId="172" fontId="42" fillId="21" borderId="11" xfId="0" applyNumberFormat="1" applyFont="1" applyFill="1" applyBorder="1" applyAlignment="1">
      <alignment horizontal="center" vertical="center"/>
    </xf>
    <xf numFmtId="0" fontId="41" fillId="22" borderId="11" xfId="0" applyFont="1" applyFill="1" applyBorder="1" applyAlignment="1">
      <alignment horizontal="center" vertical="center"/>
    </xf>
    <xf numFmtId="0" fontId="42" fillId="22" borderId="11" xfId="0" applyFont="1" applyFill="1" applyBorder="1" applyAlignment="1">
      <alignment horizontal="left" vertical="center" wrapText="1"/>
    </xf>
    <xf numFmtId="3" fontId="42" fillId="22" borderId="11" xfId="0" applyNumberFormat="1" applyFont="1" applyFill="1" applyBorder="1" applyAlignment="1">
      <alignment horizontal="center" vertical="center"/>
    </xf>
    <xf numFmtId="171" fontId="42" fillId="22" borderId="11" xfId="0" applyNumberFormat="1" applyFont="1" applyFill="1" applyBorder="1" applyAlignment="1">
      <alignment horizontal="center" vertical="center"/>
    </xf>
    <xf numFmtId="10" fontId="42" fillId="22" borderId="11" xfId="0" applyNumberFormat="1" applyFont="1" applyFill="1" applyBorder="1" applyAlignment="1">
      <alignment horizontal="center" vertical="center"/>
    </xf>
    <xf numFmtId="0" fontId="42" fillId="22" borderId="11" xfId="0" applyFont="1" applyFill="1" applyBorder="1" applyAlignment="1">
      <alignment horizontal="center" vertical="center"/>
    </xf>
    <xf numFmtId="172" fontId="42" fillId="22" borderId="11" xfId="0" applyNumberFormat="1" applyFont="1" applyFill="1" applyBorder="1" applyAlignment="1">
      <alignment horizontal="center" vertical="center"/>
    </xf>
    <xf numFmtId="0" fontId="41" fillId="23" borderId="11" xfId="0" applyFont="1" applyFill="1" applyBorder="1" applyAlignment="1">
      <alignment horizontal="center" vertical="center"/>
    </xf>
    <xf numFmtId="0" fontId="42" fillId="23" borderId="11" xfId="0" applyFont="1" applyFill="1" applyBorder="1" applyAlignment="1">
      <alignment horizontal="left" vertical="center" wrapText="1"/>
    </xf>
    <xf numFmtId="3" fontId="42" fillId="23" borderId="11" xfId="0" applyNumberFormat="1" applyFont="1" applyFill="1" applyBorder="1" applyAlignment="1">
      <alignment horizontal="center" vertical="center"/>
    </xf>
    <xf numFmtId="171" fontId="42" fillId="23" borderId="11" xfId="0" applyNumberFormat="1" applyFont="1" applyFill="1" applyBorder="1" applyAlignment="1">
      <alignment horizontal="center" vertical="center"/>
    </xf>
    <xf numFmtId="10" fontId="42" fillId="23" borderId="11" xfId="0" applyNumberFormat="1" applyFont="1" applyFill="1" applyBorder="1" applyAlignment="1">
      <alignment horizontal="center" vertical="center"/>
    </xf>
    <xf numFmtId="0" fontId="42" fillId="23" borderId="11" xfId="0" applyFont="1" applyFill="1" applyBorder="1" applyAlignment="1">
      <alignment horizontal="center" vertical="center"/>
    </xf>
    <xf numFmtId="172" fontId="42" fillId="23" borderId="11" xfId="0" applyNumberFormat="1" applyFont="1" applyFill="1" applyBorder="1" applyAlignment="1">
      <alignment horizontal="center" vertical="center"/>
    </xf>
    <xf numFmtId="3" fontId="44" fillId="18" borderId="11" xfId="0" applyNumberFormat="1" applyFont="1" applyFill="1" applyBorder="1" applyAlignment="1">
      <alignment horizontal="center" vertical="center"/>
    </xf>
    <xf numFmtId="171" fontId="44" fillId="18" borderId="11" xfId="0" applyNumberFormat="1" applyFont="1" applyFill="1" applyBorder="1" applyAlignment="1">
      <alignment horizontal="center" vertical="center"/>
    </xf>
    <xf numFmtId="10" fontId="44" fillId="18" borderId="11" xfId="0" applyNumberFormat="1" applyFont="1" applyFill="1" applyBorder="1" applyAlignment="1">
      <alignment horizontal="center" vertical="center"/>
    </xf>
    <xf numFmtId="0" fontId="44" fillId="18" borderId="11" xfId="0" applyFont="1" applyFill="1" applyBorder="1" applyAlignment="1">
      <alignment horizontal="center" vertical="center"/>
    </xf>
    <xf numFmtId="172" fontId="44" fillId="18" borderId="11" xfId="0" applyNumberFormat="1" applyFont="1" applyFill="1" applyBorder="1" applyAlignment="1">
      <alignment horizontal="center" vertical="center"/>
    </xf>
    <xf numFmtId="0" fontId="41" fillId="0" borderId="11" xfId="0" applyFont="1" applyBorder="1" applyAlignment="1">
      <alignment horizontal="left" vertical="center"/>
    </xf>
    <xf numFmtId="0" fontId="42" fillId="20" borderId="11" xfId="0" applyFont="1" applyFill="1" applyBorder="1" applyAlignment="1">
      <alignment horizontal="left" vertical="center"/>
    </xf>
    <xf numFmtId="0" fontId="42" fillId="23" borderId="11" xfId="0" applyFont="1" applyFill="1" applyBorder="1" applyAlignment="1">
      <alignment horizontal="left" vertical="center"/>
    </xf>
    <xf numFmtId="0" fontId="42" fillId="21" borderId="11" xfId="0" applyFont="1" applyFill="1" applyBorder="1" applyAlignment="1">
      <alignment horizontal="left" vertical="center"/>
    </xf>
    <xf numFmtId="0" fontId="41" fillId="22" borderId="1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right" vertical="center"/>
    </xf>
    <xf numFmtId="0" fontId="16" fillId="14" borderId="3" xfId="0" applyFont="1" applyFill="1" applyBorder="1" applyAlignment="1">
      <alignment horizontal="left" vertical="center"/>
    </xf>
    <xf numFmtId="0" fontId="16" fillId="14" borderId="3" xfId="0" applyFont="1" applyFill="1" applyBorder="1" applyAlignment="1">
      <alignment horizontal="center" vertical="center"/>
    </xf>
    <xf numFmtId="1" fontId="16" fillId="10" borderId="3" xfId="0" applyNumberFormat="1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left" vertical="center"/>
    </xf>
    <xf numFmtId="0" fontId="16" fillId="16" borderId="3" xfId="0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/>
    </xf>
    <xf numFmtId="165" fontId="33" fillId="5" borderId="3" xfId="0" applyNumberFormat="1" applyFont="1" applyFill="1" applyBorder="1" applyAlignment="1">
      <alignment horizontal="center" vertical="center"/>
    </xf>
    <xf numFmtId="165" fontId="14" fillId="2" borderId="6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0" borderId="0" xfId="0" applyFont="1" applyAlignment="1"/>
    <xf numFmtId="0" fontId="8" fillId="6" borderId="2" xfId="0" applyFont="1" applyFill="1" applyBorder="1" applyAlignment="1">
      <alignment horizontal="left" vertical="center"/>
    </xf>
    <xf numFmtId="0" fontId="0" fillId="0" borderId="8" xfId="0" applyBorder="1"/>
    <xf numFmtId="0" fontId="6" fillId="5" borderId="1" xfId="0" applyFont="1" applyFill="1" applyBorder="1" applyAlignment="1">
      <alignment horizontal="left" vertical="center"/>
    </xf>
    <xf numFmtId="0" fontId="0" fillId="0" borderId="1" xfId="0" applyBorder="1"/>
    <xf numFmtId="0" fontId="4" fillId="5" borderId="0" xfId="0" applyFont="1" applyFill="1" applyAlignment="1">
      <alignment horizontal="center" vertical="center"/>
    </xf>
    <xf numFmtId="0" fontId="0" fillId="0" borderId="0" xfId="0" applyAlignment="1"/>
    <xf numFmtId="0" fontId="9" fillId="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1" fontId="12" fillId="8" borderId="0" xfId="0" applyNumberFormat="1" applyFont="1" applyFill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64" fontId="12" fillId="3" borderId="0" xfId="0" applyNumberFormat="1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" fontId="12" fillId="7" borderId="0" xfId="0" applyNumberFormat="1" applyFont="1" applyFill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0" fillId="0" borderId="9" xfId="0" applyBorder="1"/>
    <xf numFmtId="0" fontId="26" fillId="11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left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27" fillId="6" borderId="0" xfId="0" applyFont="1" applyFill="1" applyAlignment="1">
      <alignment horizontal="left" vertical="center"/>
    </xf>
    <xf numFmtId="165" fontId="12" fillId="8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5" fontId="12" fillId="7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28" fillId="2" borderId="2" xfId="0" applyFont="1" applyFill="1" applyBorder="1" applyAlignment="1">
      <alignment horizontal="center" vertical="center"/>
    </xf>
    <xf numFmtId="10" fontId="40" fillId="20" borderId="11" xfId="0" applyNumberFormat="1" applyFont="1" applyFill="1" applyBorder="1" applyAlignment="1">
      <alignment horizontal="center" vertical="center"/>
    </xf>
    <xf numFmtId="3" fontId="40" fillId="20" borderId="11" xfId="0" applyNumberFormat="1" applyFont="1" applyFill="1" applyBorder="1" applyAlignment="1">
      <alignment horizontal="center" vertical="center"/>
    </xf>
    <xf numFmtId="0" fontId="39" fillId="19" borderId="11" xfId="0" applyFont="1" applyFill="1" applyBorder="1" applyAlignment="1">
      <alignment horizontal="center" vertical="center" wrapText="1"/>
    </xf>
    <xf numFmtId="165" fontId="10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5" fontId="10" fillId="9" borderId="0" xfId="0" applyNumberFormat="1" applyFont="1" applyFill="1" applyAlignment="1">
      <alignment horizontal="center" vertical="center"/>
    </xf>
    <xf numFmtId="0" fontId="37" fillId="18" borderId="11" xfId="0" applyFont="1" applyFill="1" applyBorder="1" applyAlignment="1">
      <alignment horizontal="center" vertical="center"/>
    </xf>
    <xf numFmtId="0" fontId="42" fillId="24" borderId="11" xfId="0" applyFont="1" applyFill="1" applyBorder="1" applyAlignment="1">
      <alignment horizontal="left" vertical="center"/>
    </xf>
    <xf numFmtId="0" fontId="40" fillId="20" borderId="11" xfId="0" applyFont="1" applyFill="1" applyBorder="1" applyAlignment="1">
      <alignment horizontal="center" vertical="center"/>
    </xf>
    <xf numFmtId="171" fontId="40" fillId="20" borderId="11" xfId="0" applyNumberFormat="1" applyFont="1" applyFill="1" applyBorder="1" applyAlignment="1">
      <alignment horizontal="center" vertical="center"/>
    </xf>
    <xf numFmtId="0" fontId="44" fillId="18" borderId="11" xfId="0" applyFont="1" applyFill="1" applyBorder="1" applyAlignment="1">
      <alignment horizontal="center" vertical="center"/>
    </xf>
    <xf numFmtId="0" fontId="38" fillId="19" borderId="11" xfId="0" applyFont="1" applyFill="1" applyBorder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43" fillId="18" borderId="1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" borderId="0" xfId="0" applyFont="1" applyFill="1" applyAlignment="1">
      <alignment horizontal="center" vertical="center"/>
    </xf>
    <xf numFmtId="0" fontId="31" fillId="0" borderId="0" xfId="0" applyFont="1" applyAlignment="1"/>
    <xf numFmtId="0" fontId="0" fillId="0" borderId="0" xfId="0" applyAlignment="1">
      <alignment horizontal="center" vertical="center"/>
    </xf>
    <xf numFmtId="0" fontId="30" fillId="0" borderId="0" xfId="0" applyFont="1" applyAlignment="1"/>
    <xf numFmtId="166" fontId="32" fillId="0" borderId="0" xfId="0" applyNumberFormat="1" applyFont="1" applyAlignment="1"/>
    <xf numFmtId="0" fontId="33" fillId="5" borderId="0" xfId="0" applyFont="1" applyFill="1" applyAlignment="1">
      <alignment horizontal="right" vertical="center"/>
    </xf>
    <xf numFmtId="0" fontId="7" fillId="3" borderId="1" xfId="0" applyFont="1" applyFill="1" applyBorder="1" applyAlignment="1"/>
    <xf numFmtId="0" fontId="30" fillId="0" borderId="0" xfId="0" applyFont="1" applyAlignment="1">
      <alignment horizontal="center" vertical="center"/>
    </xf>
    <xf numFmtId="0" fontId="0" fillId="14" borderId="2" xfId="0" applyFill="1" applyBorder="1" applyAlignment="1"/>
    <xf numFmtId="166" fontId="0" fillId="0" borderId="2" xfId="0" applyNumberFormat="1" applyBorder="1" applyAlignment="1"/>
    <xf numFmtId="0" fontId="7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0" fillId="0" borderId="10" xfId="0" applyBorder="1"/>
    <xf numFmtId="164" fontId="29" fillId="2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29" fillId="3" borderId="0" xfId="0" applyNumberFormat="1" applyFont="1" applyFill="1" applyAlignment="1">
      <alignment horizontal="center" vertical="center"/>
    </xf>
    <xf numFmtId="165" fontId="12" fillId="9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sz val="11"/>
        <color rgb="FFC00000"/>
        <name val="Calibri"/>
      </font>
      <fill>
        <patternFill>
          <bgColor rgb="FFFCE4D6"/>
        </patternFill>
      </fill>
    </dxf>
    <dxf>
      <font>
        <sz val="11"/>
        <color rgb="FF27AE60"/>
        <name val="Calibri"/>
      </font>
      <fill>
        <patternFill>
          <bgColor rgb="FFE2EFDA"/>
        </patternFill>
      </fill>
    </dxf>
    <dxf>
      <font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2E75B6"/>
        <name val="Calibri"/>
      </font>
      <fill>
        <patternFill>
          <bgColor rgb="FFDEEAF1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  <dxf>
      <font>
        <b/>
        <sz val="11"/>
        <color rgb="FFC00000"/>
        <name val="Calibri"/>
      </font>
      <fill>
        <patternFill>
          <bgColor rgb="FFFCE4D6"/>
        </patternFill>
      </fill>
    </dxf>
    <dxf>
      <font>
        <b/>
        <sz val="11"/>
        <color rgb="FFB8860B"/>
        <name val="Calibri"/>
      </font>
      <fill>
        <patternFill>
          <bgColor rgb="FFFFF2CC"/>
        </patternFill>
      </fill>
    </dxf>
    <dxf>
      <font>
        <b/>
        <sz val="11"/>
        <color rgb="FF27AE60"/>
        <name val="Calibri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B8860B"/>
      <rgbColor rgb="FF800080"/>
      <rgbColor rgb="FF4F81BD"/>
      <rgbColor rgb="FFD9D9D9"/>
      <rgbColor rgb="FF878787"/>
      <rgbColor rgb="FF5B9BD5"/>
      <rgbColor rgb="FFC0504D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0A0"/>
      <rgbColor rgb="FFF9F9F9"/>
      <rgbColor rgb="FFFCE4D6"/>
      <rgbColor rgb="FFCC99FF"/>
      <rgbColor rgb="FFFFD966"/>
      <rgbColor rgb="FF2E75B6"/>
      <rgbColor rgb="FF70AD47"/>
      <rgbColor rgb="FF9BBB59"/>
      <rgbColor rgb="FFFFCC00"/>
      <rgbColor rgb="FFFF9900"/>
      <rgbColor rgb="FFF47B20"/>
      <rgbColor rgb="FF8064A2"/>
      <rgbColor rgb="FFAAAAAA"/>
      <rgbColor rgb="FF1F3864"/>
      <rgbColor rgb="FF27AE60"/>
      <rgbColor rgb="FF003300"/>
      <rgbColor rgb="FF333300"/>
      <rgbColor rgb="FF993300"/>
      <rgbColor rgb="FF993366"/>
      <rgbColor rgb="FF595959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% Cumplimiento por Equipo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DASHBOARD!$H$11</c:f>
              <c:strCache>
                <c:ptCount val="1"/>
                <c:pt idx="0">
                  <c:v>% CUMPLIM.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DASHBOARD!$A$12:$A$21</c:f>
              <c:strCache>
                <c:ptCount val="10"/>
                <c:pt idx="0">
                  <c:v>M-001</c:v>
                </c:pt>
                <c:pt idx="1">
                  <c:v>M-002</c:v>
                </c:pt>
                <c:pt idx="2">
                  <c:v>M-003</c:v>
                </c:pt>
                <c:pt idx="3">
                  <c:v>M-004</c:v>
                </c:pt>
                <c:pt idx="4">
                  <c:v>M-005</c:v>
                </c:pt>
                <c:pt idx="5">
                  <c:v>M-006</c:v>
                </c:pt>
                <c:pt idx="6">
                  <c:v>M-007</c:v>
                </c:pt>
                <c:pt idx="7">
                  <c:v>M-008</c:v>
                </c:pt>
                <c:pt idx="8">
                  <c:v>M-009</c:v>
                </c:pt>
                <c:pt idx="9">
                  <c:v>M-010</c:v>
                </c:pt>
              </c:strCache>
            </c:strRef>
          </c:cat>
          <c:val>
            <c:numRef>
              <c:f>DASHBOARD!$H$12:$H$21</c:f>
              <c:numCache>
                <c:formatCode>0.0%</c:formatCode>
                <c:ptCount val="10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0.5</c:v>
                </c:pt>
                <c:pt idx="7">
                  <c:v>1</c:v>
                </c:pt>
                <c:pt idx="8">
                  <c:v>0.75</c:v>
                </c:pt>
                <c:pt idx="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1-43AF-8094-1420096B5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9526"/>
        <c:axId val="6633665"/>
      </c:barChart>
      <c:catAx>
        <c:axId val="44119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MX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Equipo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6633665"/>
        <c:crosses val="autoZero"/>
        <c:auto val="1"/>
        <c:lblAlgn val="ctr"/>
        <c:lblOffset val="100"/>
        <c:noMultiLvlLbl val="0"/>
      </c:catAx>
      <c:valAx>
        <c:axId val="6633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Cumplimiento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411952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de Estados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DASHBOARD!$D$3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DASHBOARD!$D$4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3E51-43D0-9A47-2185632FB4E2}"/>
            </c:ext>
          </c:extLst>
        </c:ser>
        <c:ser>
          <c:idx val="1"/>
          <c:order val="1"/>
          <c:tx>
            <c:strRef>
              <c:f>DASHBOARD!$E$3</c:f>
              <c:strCache>
                <c:ptCount val="1"/>
                <c:pt idx="0">
                  <c:v>REPROGRAMADOS
(R)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4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DASHBOARD!$E$4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51-43D0-9A47-2185632FB4E2}"/>
            </c:ext>
          </c:extLst>
        </c:ser>
        <c:ser>
          <c:idx val="2"/>
          <c:order val="2"/>
          <c:tx>
            <c:strRef>
              <c:f>DASHBOARD!$F$3</c:f>
              <c:strCache>
                <c:ptCount val="1"/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DASHBOARD!$F$4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3E51-43D0-9A47-2185632FB4E2}"/>
            </c:ext>
          </c:extLst>
        </c:ser>
        <c:ser>
          <c:idx val="3"/>
          <c:order val="3"/>
          <c:tx>
            <c:strRef>
              <c:f>DASHBOARD!$G$3</c:f>
              <c:strCache>
                <c:ptCount val="1"/>
                <c:pt idx="0">
                  <c:v>NO EJECUTADOS
(N)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A-3E51-43D0-9A47-2185632FB4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3E51-43D0-9A47-2185632FB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DASHBOARD!$G$4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51-43D0-9A47-2185632F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111600</xdr:rowOff>
    </xdr:from>
    <xdr:to>
      <xdr:col>3</xdr:col>
      <xdr:colOff>75600</xdr:colOff>
      <xdr:row>5</xdr:row>
      <xdr:rowOff>21960</xdr:rowOff>
    </xdr:to>
    <xdr:pic>
      <xdr:nvPicPr>
        <xdr:cNvPr id="2" name="Imagen 1" descr="Qué pasa en México con la industria metalmecánica?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111600"/>
          <a:ext cx="2613240" cy="10724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699120</xdr:colOff>
      <xdr:row>45</xdr:row>
      <xdr:rowOff>127800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15</xdr:col>
      <xdr:colOff>244080</xdr:colOff>
      <xdr:row>45</xdr:row>
      <xdr:rowOff>127800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_maquinas" displayName="tabla_maquinas" ref="A4:M14" totalsRowShown="0">
  <autoFilter ref="A4:M14"/>
  <tableColumns count="13">
    <tableColumn id="1" name="N°"/>
    <tableColumn id="2" name="CÓDIGO"/>
    <tableColumn id="3" name="NOMBRE DEL EQUIPO"/>
    <tableColumn id="4" name="TIPO"/>
    <tableColumn id="5" name="MARCA"/>
    <tableColumn id="6" name="UBICACIÓN"/>
    <tableColumn id="7" name="FECHA ADQUIS."/>
    <tableColumn id="8" name="ANTIGÜEDAD_x000a_(años)"/>
    <tableColumn id="9" name="HRS/DÍA"/>
    <tableColumn id="10" name="CRITICIDAD"/>
    <tableColumn id="11" name="ESTADO"/>
    <tableColumn id="12" name="MTTR_x000a_(promedio)"/>
    <tableColumn id="13" name="OBSERVACION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I49"/>
  <sheetViews>
    <sheetView showGridLines="0" topLeftCell="A20" zoomScaleNormal="100" workbookViewId="0">
      <selection activeCell="M11" sqref="M11"/>
    </sheetView>
  </sheetViews>
  <sheetFormatPr baseColWidth="10" defaultColWidth="8.6640625" defaultRowHeight="14.4" x14ac:dyDescent="0.3"/>
  <cols>
    <col min="1" max="1" width="3" style="1" customWidth="1"/>
    <col min="2" max="8" width="18" style="1" customWidth="1"/>
    <col min="9" max="9" width="3" style="1" customWidth="1"/>
  </cols>
  <sheetData>
    <row r="1" spans="1:9" ht="13.5" customHeigh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19.5" customHeight="1" x14ac:dyDescent="0.3">
      <c r="A2" s="2"/>
      <c r="B2" s="128"/>
      <c r="C2" s="125"/>
      <c r="D2" s="129" t="s">
        <v>0</v>
      </c>
      <c r="E2" s="125"/>
      <c r="F2" s="125"/>
      <c r="G2" s="125"/>
      <c r="H2" s="125"/>
      <c r="I2" s="2"/>
    </row>
    <row r="3" spans="1:9" ht="19.5" customHeight="1" x14ac:dyDescent="0.3">
      <c r="A3" s="2"/>
      <c r="B3" s="125"/>
      <c r="C3" s="125"/>
      <c r="D3" s="125"/>
      <c r="E3" s="125"/>
      <c r="F3" s="125"/>
      <c r="G3" s="125"/>
      <c r="H3" s="125"/>
      <c r="I3" s="2"/>
    </row>
    <row r="4" spans="1:9" ht="19.5" customHeight="1" x14ac:dyDescent="0.3">
      <c r="A4" s="2"/>
      <c r="B4" s="125"/>
      <c r="C4" s="125"/>
      <c r="D4" s="125"/>
      <c r="E4" s="125"/>
      <c r="F4" s="125"/>
      <c r="G4" s="125"/>
      <c r="H4" s="125"/>
      <c r="I4" s="2"/>
    </row>
    <row r="5" spans="1:9" ht="19.5" customHeight="1" x14ac:dyDescent="0.3">
      <c r="A5" s="2"/>
      <c r="B5" s="125"/>
      <c r="C5" s="125"/>
      <c r="D5" s="125"/>
      <c r="E5" s="125"/>
      <c r="F5" s="125"/>
      <c r="G5" s="125"/>
      <c r="H5" s="125"/>
      <c r="I5" s="2"/>
    </row>
    <row r="6" spans="1:9" ht="6" customHeight="1" x14ac:dyDescent="0.3">
      <c r="A6" s="3"/>
      <c r="B6" s="3"/>
      <c r="C6" s="3"/>
      <c r="D6" s="3"/>
      <c r="E6" s="3"/>
      <c r="F6" s="3"/>
      <c r="G6" s="3"/>
      <c r="H6" s="3"/>
      <c r="I6" s="3"/>
    </row>
    <row r="7" spans="1:9" ht="15" customHeight="1" x14ac:dyDescent="0.3">
      <c r="A7" s="4"/>
      <c r="B7" s="4"/>
      <c r="C7" s="4"/>
      <c r="D7" s="4"/>
      <c r="E7" s="4"/>
      <c r="F7" s="4"/>
      <c r="G7" s="4"/>
      <c r="H7" s="4"/>
      <c r="I7" s="4"/>
    </row>
    <row r="8" spans="1:9" ht="9.75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36" customHeight="1" x14ac:dyDescent="0.3">
      <c r="A9" s="4"/>
      <c r="B9" s="130" t="s">
        <v>1</v>
      </c>
      <c r="C9" s="125"/>
      <c r="D9" s="125"/>
      <c r="E9" s="125"/>
      <c r="F9" s="125"/>
      <c r="G9" s="125"/>
      <c r="H9" s="125"/>
      <c r="I9" s="4"/>
    </row>
    <row r="10" spans="1:9" ht="19.5" customHeight="1" x14ac:dyDescent="0.3">
      <c r="A10" s="4"/>
      <c r="B10" s="125"/>
      <c r="C10" s="125"/>
      <c r="D10" s="125"/>
      <c r="E10" s="125"/>
      <c r="F10" s="125"/>
      <c r="G10" s="125"/>
      <c r="H10" s="125"/>
      <c r="I10" s="4"/>
    </row>
    <row r="11" spans="1:9" ht="19.5" customHeight="1" x14ac:dyDescent="0.3">
      <c r="A11" s="4"/>
      <c r="B11" s="125"/>
      <c r="C11" s="125"/>
      <c r="D11" s="125"/>
      <c r="E11" s="125"/>
      <c r="F11" s="125"/>
      <c r="G11" s="125"/>
      <c r="H11" s="125"/>
      <c r="I11" s="4"/>
    </row>
    <row r="12" spans="1:9" ht="24" customHeight="1" x14ac:dyDescent="0.3">
      <c r="A12" s="4"/>
      <c r="B12" s="124" t="s">
        <v>2</v>
      </c>
      <c r="C12" s="125"/>
      <c r="D12" s="125"/>
      <c r="E12" s="125"/>
      <c r="F12" s="125"/>
      <c r="G12" s="125"/>
      <c r="H12" s="125"/>
      <c r="I12" s="4"/>
    </row>
    <row r="13" spans="1:9" ht="15.75" customHeight="1" x14ac:dyDescent="0.3">
      <c r="A13" s="4"/>
      <c r="B13" s="125"/>
      <c r="C13" s="125"/>
      <c r="D13" s="125"/>
      <c r="E13" s="125"/>
      <c r="F13" s="125"/>
      <c r="G13" s="125"/>
      <c r="H13" s="125"/>
      <c r="I13" s="4"/>
    </row>
    <row r="14" spans="1:9" ht="15" customHeight="1" x14ac:dyDescent="0.3">
      <c r="A14" s="4"/>
      <c r="B14" s="4"/>
      <c r="C14" s="4"/>
      <c r="D14" s="4"/>
      <c r="E14" s="4"/>
      <c r="F14" s="4"/>
      <c r="G14" s="4"/>
      <c r="H14" s="4"/>
      <c r="I14" s="4"/>
    </row>
    <row r="15" spans="1:9" ht="9.75" customHeight="1" x14ac:dyDescent="0.3">
      <c r="A15" s="4"/>
      <c r="B15" s="4"/>
      <c r="C15" s="4"/>
      <c r="D15" s="4"/>
      <c r="E15" s="4"/>
      <c r="F15" s="4"/>
      <c r="G15" s="4"/>
      <c r="H15" s="4"/>
      <c r="I15" s="4"/>
    </row>
    <row r="16" spans="1:9" ht="19.5" customHeight="1" x14ac:dyDescent="0.3">
      <c r="A16" s="4"/>
      <c r="B16" s="5" t="s">
        <v>3</v>
      </c>
      <c r="C16" s="122" t="str">
        <f>CONFIG!B2</f>
        <v>Industrias Metálicas del Centro S.A. de C.V.</v>
      </c>
      <c r="D16" s="123"/>
      <c r="E16" s="123"/>
      <c r="F16" s="123"/>
      <c r="G16" s="123"/>
      <c r="H16" s="4"/>
      <c r="I16" s="4"/>
    </row>
    <row r="17" spans="1:9" ht="19.5" customHeight="1" x14ac:dyDescent="0.3">
      <c r="A17" s="4"/>
      <c r="B17" s="5" t="s">
        <v>4</v>
      </c>
      <c r="C17" s="122" t="str">
        <f>CONFIG!B3</f>
        <v>Planta Puebla — Nave de Producción</v>
      </c>
      <c r="D17" s="123"/>
      <c r="E17" s="123"/>
      <c r="F17" s="123"/>
      <c r="G17" s="123"/>
      <c r="H17" s="4"/>
      <c r="I17" s="4"/>
    </row>
    <row r="18" spans="1:9" ht="19.5" customHeight="1" x14ac:dyDescent="0.3">
      <c r="A18" s="4"/>
      <c r="B18" s="5" t="s">
        <v>5</v>
      </c>
      <c r="C18" s="122" t="str">
        <f>CONFIG!B4</f>
        <v>Ing. Carlos Martínez López</v>
      </c>
      <c r="D18" s="123"/>
      <c r="E18" s="123"/>
      <c r="F18" s="123"/>
      <c r="G18" s="123"/>
      <c r="H18" s="4"/>
      <c r="I18" s="4"/>
    </row>
    <row r="19" spans="1:9" ht="19.5" customHeight="1" x14ac:dyDescent="0.3">
      <c r="A19" s="4"/>
      <c r="B19" s="5" t="s">
        <v>6</v>
      </c>
      <c r="C19" s="122">
        <f>CONFIG!B5</f>
        <v>2025</v>
      </c>
      <c r="D19" s="123"/>
      <c r="E19" s="123"/>
      <c r="F19" s="123"/>
      <c r="G19" s="123"/>
      <c r="H19" s="4"/>
      <c r="I19" s="4"/>
    </row>
    <row r="20" spans="1:9" ht="19.5" customHeight="1" x14ac:dyDescent="0.3">
      <c r="A20" s="4"/>
      <c r="B20" s="5" t="s">
        <v>7</v>
      </c>
      <c r="C20" s="122" t="s">
        <v>8</v>
      </c>
      <c r="D20" s="123"/>
      <c r="E20" s="123"/>
      <c r="F20" s="123"/>
      <c r="G20" s="123"/>
      <c r="H20" s="4"/>
      <c r="I20" s="4"/>
    </row>
    <row r="21" spans="1:9" ht="19.5" customHeight="1" x14ac:dyDescent="0.3">
      <c r="A21" s="4"/>
      <c r="B21" s="5" t="s">
        <v>9</v>
      </c>
      <c r="C21" s="122" t="str">
        <f ca="1">TEXT(TODAY(),"DD/MM/YYYY")</f>
        <v>20/05/YYYY</v>
      </c>
      <c r="D21" s="123"/>
      <c r="E21" s="123"/>
      <c r="F21" s="123"/>
      <c r="G21" s="123"/>
      <c r="H21" s="4"/>
      <c r="I21" s="4"/>
    </row>
    <row r="22" spans="1:9" ht="1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ht="9.75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ht="21.75" customHeight="1" x14ac:dyDescent="0.3">
      <c r="A24" s="4"/>
      <c r="B24" s="127" t="s">
        <v>10</v>
      </c>
      <c r="C24" s="121"/>
      <c r="D24" s="121"/>
      <c r="E24" s="120" t="s">
        <v>11</v>
      </c>
      <c r="F24" s="121"/>
      <c r="G24" s="121"/>
      <c r="H24" s="121"/>
      <c r="I24" s="4"/>
    </row>
    <row r="25" spans="1:9" ht="21.75" customHeight="1" x14ac:dyDescent="0.3">
      <c r="A25" s="4"/>
      <c r="B25" s="127" t="s">
        <v>12</v>
      </c>
      <c r="C25" s="121"/>
      <c r="D25" s="121"/>
      <c r="E25" s="120" t="s">
        <v>13</v>
      </c>
      <c r="F25" s="121"/>
      <c r="G25" s="121"/>
      <c r="H25" s="121"/>
      <c r="I25" s="4"/>
    </row>
    <row r="26" spans="1:9" ht="21.75" customHeight="1" x14ac:dyDescent="0.3">
      <c r="A26" s="4"/>
      <c r="B26" s="127" t="s">
        <v>14</v>
      </c>
      <c r="C26" s="121"/>
      <c r="D26" s="121"/>
      <c r="E26" s="120" t="s">
        <v>15</v>
      </c>
      <c r="F26" s="121"/>
      <c r="G26" s="121"/>
      <c r="H26" s="121"/>
      <c r="I26" s="4"/>
    </row>
    <row r="27" spans="1:9" ht="21.75" customHeight="1" x14ac:dyDescent="0.3">
      <c r="A27" s="4"/>
      <c r="B27" s="127" t="s">
        <v>16</v>
      </c>
      <c r="C27" s="121"/>
      <c r="D27" s="121"/>
      <c r="E27" s="120" t="s">
        <v>17</v>
      </c>
      <c r="F27" s="121"/>
      <c r="G27" s="121"/>
      <c r="H27" s="121"/>
      <c r="I27" s="4"/>
    </row>
    <row r="28" spans="1:9" ht="21.75" customHeight="1" x14ac:dyDescent="0.3">
      <c r="A28" s="4"/>
      <c r="B28" s="127" t="s">
        <v>18</v>
      </c>
      <c r="C28" s="121"/>
      <c r="D28" s="121"/>
      <c r="E28" s="120" t="s">
        <v>19</v>
      </c>
      <c r="F28" s="121"/>
      <c r="G28" s="121"/>
      <c r="H28" s="121"/>
      <c r="I28" s="4"/>
    </row>
    <row r="29" spans="1:9" ht="21.75" customHeight="1" x14ac:dyDescent="0.3">
      <c r="A29" s="4"/>
      <c r="B29" s="127" t="s">
        <v>20</v>
      </c>
      <c r="C29" s="121"/>
      <c r="D29" s="121"/>
      <c r="E29" s="120" t="s">
        <v>21</v>
      </c>
      <c r="F29" s="121"/>
      <c r="G29" s="121"/>
      <c r="H29" s="121"/>
      <c r="I29" s="4"/>
    </row>
    <row r="30" spans="1:9" ht="21.75" customHeight="1" x14ac:dyDescent="0.3">
      <c r="A30" s="4"/>
      <c r="B30" s="127" t="s">
        <v>22</v>
      </c>
      <c r="C30" s="121"/>
      <c r="D30" s="121"/>
      <c r="E30" s="120" t="s">
        <v>23</v>
      </c>
      <c r="F30" s="121"/>
      <c r="G30" s="121"/>
      <c r="H30" s="121"/>
      <c r="I30" s="4"/>
    </row>
    <row r="31" spans="1:9" ht="21.75" customHeight="1" x14ac:dyDescent="0.3">
      <c r="A31" s="4"/>
      <c r="B31" s="127" t="s">
        <v>24</v>
      </c>
      <c r="C31" s="121"/>
      <c r="D31" s="121"/>
      <c r="E31" s="120" t="s">
        <v>25</v>
      </c>
      <c r="F31" s="121"/>
      <c r="G31" s="121"/>
      <c r="H31" s="121"/>
      <c r="I31" s="4"/>
    </row>
    <row r="32" spans="1:9" ht="15" customHeight="1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9.75" customHeight="1" x14ac:dyDescent="0.3">
      <c r="A33" s="2"/>
      <c r="B33" s="126" t="s">
        <v>26</v>
      </c>
      <c r="C33" s="125"/>
      <c r="D33" s="125"/>
      <c r="E33" s="125"/>
      <c r="F33" s="125"/>
      <c r="G33" s="125"/>
      <c r="H33" s="125"/>
      <c r="I33" s="2"/>
    </row>
    <row r="34" spans="1:9" ht="1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5" customHeight="1" x14ac:dyDescent="0.3">
      <c r="A48" s="4"/>
      <c r="B48" s="4"/>
      <c r="C48" s="4"/>
      <c r="D48" s="4"/>
      <c r="E48" s="4"/>
      <c r="F48" s="4"/>
      <c r="G48" s="4"/>
      <c r="H48" s="4"/>
      <c r="I48" s="4"/>
    </row>
    <row r="49" spans="1:9" ht="15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</sheetData>
  <mergeCells count="27">
    <mergeCell ref="B2:C5"/>
    <mergeCell ref="E30:H30"/>
    <mergeCell ref="B27:D27"/>
    <mergeCell ref="C19:G19"/>
    <mergeCell ref="D2:H5"/>
    <mergeCell ref="B9:H11"/>
    <mergeCell ref="B25:D25"/>
    <mergeCell ref="E28:H28"/>
    <mergeCell ref="C17:G17"/>
    <mergeCell ref="E31:H31"/>
    <mergeCell ref="B31:D31"/>
    <mergeCell ref="E26:H26"/>
    <mergeCell ref="C18:G18"/>
    <mergeCell ref="B12:H13"/>
    <mergeCell ref="E25:H25"/>
    <mergeCell ref="B33:H33"/>
    <mergeCell ref="B29:D29"/>
    <mergeCell ref="E27:H27"/>
    <mergeCell ref="B28:D28"/>
    <mergeCell ref="C20:G20"/>
    <mergeCell ref="C16:G16"/>
    <mergeCell ref="B30:D30"/>
    <mergeCell ref="E24:H24"/>
    <mergeCell ref="B24:D24"/>
    <mergeCell ref="C21:G21"/>
    <mergeCell ref="B26:D26"/>
    <mergeCell ref="E29:H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P21"/>
  <sheetViews>
    <sheetView showGridLines="0" topLeftCell="A24" zoomScaleNormal="100" workbookViewId="0"/>
  </sheetViews>
  <sheetFormatPr baseColWidth="10" defaultColWidth="8.6640625" defaultRowHeight="14.4" x14ac:dyDescent="0.3"/>
  <cols>
    <col min="1" max="1" width="9" style="1" customWidth="1"/>
    <col min="2" max="2" width="26" style="1" customWidth="1"/>
    <col min="3" max="7" width="7" style="1" customWidth="1"/>
    <col min="8" max="8" width="12" style="1" customWidth="1"/>
    <col min="9" max="9" width="13" style="1" customWidth="1"/>
    <col min="10" max="10" width="18" style="1" customWidth="1"/>
    <col min="11" max="11" width="10" style="1" customWidth="1"/>
    <col min="12" max="12" width="14" style="1" customWidth="1"/>
  </cols>
  <sheetData>
    <row r="1" spans="1:16" ht="30" customHeight="1" x14ac:dyDescent="0.3">
      <c r="A1" s="143" t="s">
        <v>27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6" ht="18" customHeight="1" x14ac:dyDescent="0.3">
      <c r="A2" s="150" t="s">
        <v>28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</row>
    <row r="3" spans="1:16" ht="18" customHeight="1" x14ac:dyDescent="0.3">
      <c r="A3" s="138" t="s">
        <v>29</v>
      </c>
      <c r="B3" s="121"/>
      <c r="C3" s="148" t="s">
        <v>30</v>
      </c>
      <c r="D3" s="121"/>
      <c r="E3" s="131" t="s">
        <v>31</v>
      </c>
      <c r="F3" s="121"/>
      <c r="G3" s="139" t="s">
        <v>32</v>
      </c>
      <c r="H3" s="121"/>
      <c r="I3" s="141" t="s">
        <v>33</v>
      </c>
      <c r="J3" s="121"/>
      <c r="K3" s="149" t="s">
        <v>34</v>
      </c>
      <c r="L3" s="121"/>
      <c r="M3" s="138" t="s">
        <v>35</v>
      </c>
      <c r="N3" s="121"/>
      <c r="O3" s="131" t="s">
        <v>36</v>
      </c>
      <c r="P3" s="121"/>
    </row>
    <row r="4" spans="1:16" ht="31.5" customHeight="1" x14ac:dyDescent="0.3">
      <c r="A4" s="134">
        <f>COUNTA(PROGRAMA!H10:H5000)</f>
        <v>40</v>
      </c>
      <c r="B4" s="125"/>
      <c r="C4" s="145">
        <f>SUM(PROGRAMA!I10:I5000)</f>
        <v>32</v>
      </c>
      <c r="D4" s="125"/>
      <c r="E4" s="147">
        <f>SUM(PROGRAMA!J10:J5000)</f>
        <v>4</v>
      </c>
      <c r="F4" s="125"/>
      <c r="G4" s="135">
        <f>SUM(PROGRAMA!K10:K5000)</f>
        <v>0</v>
      </c>
      <c r="H4" s="125"/>
      <c r="I4" s="136">
        <f>SUM(PROGRAMA!L10:L5000)</f>
        <v>4</v>
      </c>
      <c r="J4" s="125"/>
      <c r="K4" s="137">
        <f>IFERROR(SUM(PROGRAMA!I10:I5000)/COUNTA(PROGRAMA!H10:H5000),0)</f>
        <v>0.8</v>
      </c>
      <c r="L4" s="125"/>
      <c r="M4" s="140">
        <f>IFERROR((SUM(PROGRAMA!I10:I5000)+SUM(PROGRAMA!J10:J5000))/(COUNTA(PROGRAMA!H10:H5000)-SUM(PROGRAMA!K10:K5000)),0)</f>
        <v>0.9</v>
      </c>
      <c r="N4" s="125"/>
      <c r="O4" s="146">
        <f>SUM(MANTENIMIENTOS!L11:L5000)+SUM(MANTENIMIENTOS!M11:M5000)</f>
        <v>42550</v>
      </c>
      <c r="P4" s="125"/>
    </row>
    <row r="5" spans="1:16" ht="9.75" customHeight="1" x14ac:dyDescent="0.3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</row>
    <row r="6" spans="1:16" ht="3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8" customHeight="1" x14ac:dyDescent="0.3">
      <c r="A7" s="144" t="s">
        <v>37</v>
      </c>
      <c r="B7" s="125"/>
      <c r="C7" s="125"/>
      <c r="D7" s="125"/>
      <c r="E7" s="133" t="s">
        <v>38</v>
      </c>
      <c r="F7" s="125"/>
      <c r="G7" s="125"/>
      <c r="H7" s="125"/>
    </row>
    <row r="8" spans="1:16" ht="24" customHeight="1" x14ac:dyDescent="0.3">
      <c r="A8" s="132" t="str">
        <f>IF(IFERROR(SUM(PROGRAMA!I10:I5000)/COUNTA(PROGRAMA!H10:H5000),0)&gt;=0.9,"✅  CUMPLIMIENTO ÓPTIMO ≥ 90%",IF(IFERROR(SUM(PROGRAMA!I10:I5000)/COUNTA(PROGRAMA!H10:H5000),0)&gt;=0.75,"⚠  CUMPLIMIENTO REGULAR 75-89%","❌  CUMPLIMIENTO CRÍTICO &lt; 75%"))</f>
        <v>⚠  CUMPLIMIENTO REGULAR 75-89%</v>
      </c>
      <c r="B8" s="125"/>
      <c r="C8" s="125"/>
      <c r="D8" s="125"/>
      <c r="E8" s="132" t="str">
        <f>IF(IFERROR((SUM(PROGRAMA!I10:I5000)+SUM(PROGRAMA!J10:J5000))/(COUNTA(PROGRAMA!H10:H5000)-SUM(PROGRAMA!K10:K5000)),0)&gt;=0.8,"✅  EFECTIVIDAD ÓPTIMA ≥ 80%","⚠  EFECTIVIDAD POR DEBAJO DE META")</f>
        <v>✅  EFECTIVIDAD ÓPTIMA ≥ 80%</v>
      </c>
      <c r="F8" s="125"/>
      <c r="G8" s="125"/>
      <c r="H8" s="125"/>
    </row>
    <row r="9" spans="1:16" ht="6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1.75" customHeight="1" x14ac:dyDescent="0.3">
      <c r="A10" s="142" t="s">
        <v>39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</row>
    <row r="11" spans="1:16" ht="27.75" customHeight="1" x14ac:dyDescent="0.3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36</v>
      </c>
    </row>
    <row r="12" spans="1:16" ht="19.5" customHeight="1" x14ac:dyDescent="0.3">
      <c r="A12" s="7" t="s">
        <v>51</v>
      </c>
      <c r="B12" s="8" t="s">
        <v>52</v>
      </c>
      <c r="C12" s="7">
        <f>COUNTIF(PROGRAMA!B10:B5000,A12)</f>
        <v>4</v>
      </c>
      <c r="D12" s="7">
        <f>SUMIF(PROGRAMA!B10:B5000,A12,PROGRAMA!I10:I5000)</f>
        <v>4</v>
      </c>
      <c r="E12" s="7">
        <f>SUMIF(PROGRAMA!B10:B5000,A12,PROGRAMA!J10:J5000)</f>
        <v>0</v>
      </c>
      <c r="F12" s="7">
        <f>SUMIF(PROGRAMA!B10:B5000,A12,PROGRAMA!K10:K5000)</f>
        <v>0</v>
      </c>
      <c r="G12" s="7">
        <f>SUMIF(PROGRAMA!B10:B5000,A12,PROGRAMA!L10:L5000)</f>
        <v>0</v>
      </c>
      <c r="H12" s="9">
        <f t="shared" ref="H12:H21" si="0">IFERROR(D12/C12,0)</f>
        <v>1</v>
      </c>
      <c r="I12" s="9">
        <f t="shared" ref="I12:I21" si="1">IFERROR((D12+E12)/(C12-F12),0)</f>
        <v>1</v>
      </c>
      <c r="J12" s="7" t="str">
        <f t="shared" ref="J12:J21" si="2">IF(H12&gt;=0.9,"✅ Óptimo",IF(H12&gt;=0.75,"⚠ Regular","❌ Crítico"))</f>
        <v>✅ Óptimo</v>
      </c>
      <c r="K12" s="9">
        <f t="shared" ref="K12:K21" si="3">H12*0.6+I12*0.4</f>
        <v>1</v>
      </c>
      <c r="L12" s="10">
        <f>SUMIFS(MANTENIMIENTOS!L:L,MANTENIMIENTOS!N:N,B12)+SUMIFS(MANTENIMIENTOS!M:M,MANTENIMIENTOS!N:N,B12)</f>
        <v>4810</v>
      </c>
    </row>
    <row r="13" spans="1:16" ht="19.5" customHeight="1" x14ac:dyDescent="0.3">
      <c r="A13" s="11" t="s">
        <v>53</v>
      </c>
      <c r="B13" s="12" t="s">
        <v>54</v>
      </c>
      <c r="C13" s="11">
        <f>COUNTIF(PROGRAMA!B10:B5000,A13)</f>
        <v>4</v>
      </c>
      <c r="D13" s="11">
        <f>SUMIF(PROGRAMA!B10:B5000,A13,PROGRAMA!I10:I5000)</f>
        <v>3</v>
      </c>
      <c r="E13" s="11">
        <f>SUMIF(PROGRAMA!B10:B5000,A13,PROGRAMA!J10:J5000)</f>
        <v>1</v>
      </c>
      <c r="F13" s="11">
        <f>SUMIF(PROGRAMA!B10:B5000,A13,PROGRAMA!K10:K5000)</f>
        <v>0</v>
      </c>
      <c r="G13" s="11">
        <f>SUMIF(PROGRAMA!B10:B5000,A13,PROGRAMA!L10:L5000)</f>
        <v>0</v>
      </c>
      <c r="H13" s="13">
        <f t="shared" si="0"/>
        <v>0.75</v>
      </c>
      <c r="I13" s="13">
        <f t="shared" si="1"/>
        <v>1</v>
      </c>
      <c r="J13" s="11" t="str">
        <f t="shared" si="2"/>
        <v>⚠ Regular</v>
      </c>
      <c r="K13" s="13">
        <f t="shared" si="3"/>
        <v>0.85</v>
      </c>
      <c r="L13" s="14">
        <f>SUMIFS(MANTENIMIENTOS!L:L,MANTENIMIENTOS!N:N,B13)+SUMIFS(MANTENIMIENTOS!M:M,MANTENIMIENTOS!N:N,B13)</f>
        <v>6690</v>
      </c>
    </row>
    <row r="14" spans="1:16" ht="19.5" customHeight="1" x14ac:dyDescent="0.3">
      <c r="A14" s="7" t="s">
        <v>55</v>
      </c>
      <c r="B14" s="8" t="s">
        <v>56</v>
      </c>
      <c r="C14" s="7">
        <f>COUNTIF(PROGRAMA!B10:B5000,A14)</f>
        <v>4</v>
      </c>
      <c r="D14" s="7">
        <f>SUMIF(PROGRAMA!B10:B5000,A14,PROGRAMA!I10:I5000)</f>
        <v>3</v>
      </c>
      <c r="E14" s="7">
        <f>SUMIF(PROGRAMA!B10:B5000,A14,PROGRAMA!J10:J5000)</f>
        <v>0</v>
      </c>
      <c r="F14" s="7">
        <f>SUMIF(PROGRAMA!B10:B5000,A14,PROGRAMA!K10:K5000)</f>
        <v>0</v>
      </c>
      <c r="G14" s="7">
        <f>SUMIF(PROGRAMA!B10:B5000,A14,PROGRAMA!L10:L5000)</f>
        <v>1</v>
      </c>
      <c r="H14" s="9">
        <f t="shared" si="0"/>
        <v>0.75</v>
      </c>
      <c r="I14" s="9">
        <f t="shared" si="1"/>
        <v>0.75</v>
      </c>
      <c r="J14" s="7" t="str">
        <f t="shared" si="2"/>
        <v>⚠ Regular</v>
      </c>
      <c r="K14" s="9">
        <f t="shared" si="3"/>
        <v>0.75</v>
      </c>
      <c r="L14" s="10">
        <f>SUMIFS(MANTENIMIENTOS!L:L,MANTENIMIENTOS!N:N,B14)+SUMIFS(MANTENIMIENTOS!M:M,MANTENIMIENTOS!N:N,B14)</f>
        <v>4510</v>
      </c>
    </row>
    <row r="15" spans="1:16" ht="19.5" customHeight="1" x14ac:dyDescent="0.3">
      <c r="A15" s="11" t="s">
        <v>57</v>
      </c>
      <c r="B15" s="12" t="s">
        <v>58</v>
      </c>
      <c r="C15" s="11">
        <f>COUNTIF(PROGRAMA!B10:B5000,A15)</f>
        <v>4</v>
      </c>
      <c r="D15" s="11">
        <f>SUMIF(PROGRAMA!B10:B5000,A15,PROGRAMA!I10:I5000)</f>
        <v>2</v>
      </c>
      <c r="E15" s="11">
        <f>SUMIF(PROGRAMA!B10:B5000,A15,PROGRAMA!J10:J5000)</f>
        <v>1</v>
      </c>
      <c r="F15" s="11">
        <f>SUMIF(PROGRAMA!B10:B5000,A15,PROGRAMA!K10:K5000)</f>
        <v>0</v>
      </c>
      <c r="G15" s="11">
        <f>SUMIF(PROGRAMA!B10:B5000,A15,PROGRAMA!L10:L5000)</f>
        <v>1</v>
      </c>
      <c r="H15" s="13">
        <f t="shared" si="0"/>
        <v>0.5</v>
      </c>
      <c r="I15" s="13">
        <f t="shared" si="1"/>
        <v>0.75</v>
      </c>
      <c r="J15" s="11" t="str">
        <f t="shared" si="2"/>
        <v>❌ Crítico</v>
      </c>
      <c r="K15" s="13">
        <f t="shared" si="3"/>
        <v>0.60000000000000009</v>
      </c>
      <c r="L15" s="14">
        <f>SUMIFS(MANTENIMIENTOS!L:L,MANTENIMIENTOS!N:N,B15)+SUMIFS(MANTENIMIENTOS!M:M,MANTENIMIENTOS!N:N,B15)</f>
        <v>4720</v>
      </c>
    </row>
    <row r="16" spans="1:16" ht="19.5" customHeight="1" x14ac:dyDescent="0.3">
      <c r="A16" s="7" t="s">
        <v>59</v>
      </c>
      <c r="B16" s="8" t="s">
        <v>60</v>
      </c>
      <c r="C16" s="7">
        <f>COUNTIF(PROGRAMA!B10:B5000,A16)</f>
        <v>4</v>
      </c>
      <c r="D16" s="7">
        <f>SUMIF(PROGRAMA!B10:B5000,A16,PROGRAMA!I10:I5000)</f>
        <v>4</v>
      </c>
      <c r="E16" s="7">
        <f>SUMIF(PROGRAMA!B10:B5000,A16,PROGRAMA!J10:J5000)</f>
        <v>0</v>
      </c>
      <c r="F16" s="7">
        <f>SUMIF(PROGRAMA!B10:B5000,A16,PROGRAMA!K10:K5000)</f>
        <v>0</v>
      </c>
      <c r="G16" s="7">
        <f>SUMIF(PROGRAMA!B10:B5000,A16,PROGRAMA!L10:L5000)</f>
        <v>0</v>
      </c>
      <c r="H16" s="9">
        <f t="shared" si="0"/>
        <v>1</v>
      </c>
      <c r="I16" s="9">
        <f t="shared" si="1"/>
        <v>1</v>
      </c>
      <c r="J16" s="7" t="str">
        <f t="shared" si="2"/>
        <v>✅ Óptimo</v>
      </c>
      <c r="K16" s="9">
        <f t="shared" si="3"/>
        <v>1</v>
      </c>
      <c r="L16" s="10">
        <f>SUMIFS(MANTENIMIENTOS!L:L,MANTENIMIENTOS!N:N,B16)+SUMIFS(MANTENIMIENTOS!M:M,MANTENIMIENTOS!N:N,B16)</f>
        <v>2460</v>
      </c>
    </row>
    <row r="17" spans="1:12" ht="19.5" customHeight="1" x14ac:dyDescent="0.3">
      <c r="A17" s="11" t="s">
        <v>61</v>
      </c>
      <c r="B17" s="12" t="s">
        <v>62</v>
      </c>
      <c r="C17" s="11">
        <f>COUNTIF(PROGRAMA!B10:B5000,A17)</f>
        <v>4</v>
      </c>
      <c r="D17" s="11">
        <f>SUMIF(PROGRAMA!B10:B5000,A17,PROGRAMA!I10:I5000)</f>
        <v>4</v>
      </c>
      <c r="E17" s="11">
        <f>SUMIF(PROGRAMA!B10:B5000,A17,PROGRAMA!J10:J5000)</f>
        <v>0</v>
      </c>
      <c r="F17" s="11">
        <f>SUMIF(PROGRAMA!B10:B5000,A17,PROGRAMA!K10:K5000)</f>
        <v>0</v>
      </c>
      <c r="G17" s="11">
        <f>SUMIF(PROGRAMA!B10:B5000,A17,PROGRAMA!L10:L5000)</f>
        <v>0</v>
      </c>
      <c r="H17" s="13">
        <f t="shared" si="0"/>
        <v>1</v>
      </c>
      <c r="I17" s="13">
        <f t="shared" si="1"/>
        <v>1</v>
      </c>
      <c r="J17" s="11" t="str">
        <f t="shared" si="2"/>
        <v>✅ Óptimo</v>
      </c>
      <c r="K17" s="13">
        <f t="shared" si="3"/>
        <v>1</v>
      </c>
      <c r="L17" s="14">
        <f>SUMIFS(MANTENIMIENTOS!L:L,MANTENIMIENTOS!N:N,B17)+SUMIFS(MANTENIMIENTOS!M:M,MANTENIMIENTOS!N:N,B17)</f>
        <v>3190</v>
      </c>
    </row>
    <row r="18" spans="1:12" ht="19.5" customHeight="1" x14ac:dyDescent="0.3">
      <c r="A18" s="7" t="s">
        <v>63</v>
      </c>
      <c r="B18" s="8" t="s">
        <v>64</v>
      </c>
      <c r="C18" s="7">
        <f>COUNTIF(PROGRAMA!B10:B5000,A18)</f>
        <v>4</v>
      </c>
      <c r="D18" s="7">
        <f>SUMIF(PROGRAMA!B10:B5000,A18,PROGRAMA!I10:I5000)</f>
        <v>2</v>
      </c>
      <c r="E18" s="7">
        <f>SUMIF(PROGRAMA!B10:B5000,A18,PROGRAMA!J10:J5000)</f>
        <v>1</v>
      </c>
      <c r="F18" s="7">
        <f>SUMIF(PROGRAMA!B10:B5000,A18,PROGRAMA!K10:K5000)</f>
        <v>0</v>
      </c>
      <c r="G18" s="7">
        <f>SUMIF(PROGRAMA!B10:B5000,A18,PROGRAMA!L10:L5000)</f>
        <v>1</v>
      </c>
      <c r="H18" s="9">
        <f t="shared" si="0"/>
        <v>0.5</v>
      </c>
      <c r="I18" s="9">
        <f t="shared" si="1"/>
        <v>0.75</v>
      </c>
      <c r="J18" s="7" t="str">
        <f t="shared" si="2"/>
        <v>❌ Crítico</v>
      </c>
      <c r="K18" s="9">
        <f t="shared" si="3"/>
        <v>0.60000000000000009</v>
      </c>
      <c r="L18" s="10">
        <f>SUMIFS(MANTENIMIENTOS!L:L,MANTENIMIENTOS!N:N,B18)+SUMIFS(MANTENIMIENTOS!M:M,MANTENIMIENTOS!N:N,B18)</f>
        <v>7750</v>
      </c>
    </row>
    <row r="19" spans="1:12" ht="19.5" customHeight="1" x14ac:dyDescent="0.3">
      <c r="A19" s="11" t="s">
        <v>65</v>
      </c>
      <c r="B19" s="12" t="s">
        <v>66</v>
      </c>
      <c r="C19" s="11">
        <f>COUNTIF(PROGRAMA!B10:B5000,A19)</f>
        <v>4</v>
      </c>
      <c r="D19" s="11">
        <f>SUMIF(PROGRAMA!B10:B5000,A19,PROGRAMA!I10:I5000)</f>
        <v>4</v>
      </c>
      <c r="E19" s="11">
        <f>SUMIF(PROGRAMA!B10:B5000,A19,PROGRAMA!J10:J5000)</f>
        <v>0</v>
      </c>
      <c r="F19" s="11">
        <f>SUMIF(PROGRAMA!B10:B5000,A19,PROGRAMA!K10:K5000)</f>
        <v>0</v>
      </c>
      <c r="G19" s="11">
        <f>SUMIF(PROGRAMA!B10:B5000,A19,PROGRAMA!L10:L5000)</f>
        <v>0</v>
      </c>
      <c r="H19" s="13">
        <f t="shared" si="0"/>
        <v>1</v>
      </c>
      <c r="I19" s="13">
        <f t="shared" si="1"/>
        <v>1</v>
      </c>
      <c r="J19" s="11" t="str">
        <f t="shared" si="2"/>
        <v>✅ Óptimo</v>
      </c>
      <c r="K19" s="13">
        <f t="shared" si="3"/>
        <v>1</v>
      </c>
      <c r="L19" s="14">
        <f>SUMIFS(MANTENIMIENTOS!L:L,MANTENIMIENTOS!N:N,B19)+SUMIFS(MANTENIMIENTOS!M:M,MANTENIMIENTOS!N:N,B19)</f>
        <v>2830</v>
      </c>
    </row>
    <row r="20" spans="1:12" ht="19.5" customHeight="1" x14ac:dyDescent="0.3">
      <c r="A20" s="7" t="s">
        <v>67</v>
      </c>
      <c r="B20" s="8" t="s">
        <v>68</v>
      </c>
      <c r="C20" s="7">
        <f>COUNTIF(PROGRAMA!B10:B5000,A20)</f>
        <v>4</v>
      </c>
      <c r="D20" s="7">
        <f>SUMIF(PROGRAMA!B10:B5000,A20,PROGRAMA!I10:I5000)</f>
        <v>3</v>
      </c>
      <c r="E20" s="7">
        <f>SUMIF(PROGRAMA!B10:B5000,A20,PROGRAMA!J10:J5000)</f>
        <v>0</v>
      </c>
      <c r="F20" s="7">
        <f>SUMIF(PROGRAMA!B10:B5000,A20,PROGRAMA!K10:K5000)</f>
        <v>0</v>
      </c>
      <c r="G20" s="7">
        <f>SUMIF(PROGRAMA!B10:B5000,A20,PROGRAMA!L10:L5000)</f>
        <v>1</v>
      </c>
      <c r="H20" s="9">
        <f t="shared" si="0"/>
        <v>0.75</v>
      </c>
      <c r="I20" s="9">
        <f t="shared" si="1"/>
        <v>0.75</v>
      </c>
      <c r="J20" s="7" t="str">
        <f t="shared" si="2"/>
        <v>⚠ Regular</v>
      </c>
      <c r="K20" s="9">
        <f t="shared" si="3"/>
        <v>0.75</v>
      </c>
      <c r="L20" s="10">
        <f>SUMIFS(MANTENIMIENTOS!L:L,MANTENIMIENTOS!N:N,B20)+SUMIFS(MANTENIMIENTOS!M:M,MANTENIMIENTOS!N:N,B20)</f>
        <v>2620</v>
      </c>
    </row>
    <row r="21" spans="1:12" ht="19.5" customHeight="1" x14ac:dyDescent="0.3">
      <c r="A21" s="11" t="s">
        <v>69</v>
      </c>
      <c r="B21" s="12" t="s">
        <v>70</v>
      </c>
      <c r="C21" s="11">
        <f>COUNTIF(PROGRAMA!B10:B5000,A21)</f>
        <v>4</v>
      </c>
      <c r="D21" s="11">
        <f>SUMIF(PROGRAMA!B10:B5000,A21,PROGRAMA!I10:I5000)</f>
        <v>3</v>
      </c>
      <c r="E21" s="11">
        <f>SUMIF(PROGRAMA!B10:B5000,A21,PROGRAMA!J10:J5000)</f>
        <v>1</v>
      </c>
      <c r="F21" s="11">
        <f>SUMIF(PROGRAMA!B10:B5000,A21,PROGRAMA!K10:K5000)</f>
        <v>0</v>
      </c>
      <c r="G21" s="11">
        <f>SUMIF(PROGRAMA!B10:B5000,A21,PROGRAMA!L10:L5000)</f>
        <v>0</v>
      </c>
      <c r="H21" s="13">
        <f t="shared" si="0"/>
        <v>0.75</v>
      </c>
      <c r="I21" s="13">
        <f t="shared" si="1"/>
        <v>1</v>
      </c>
      <c r="J21" s="11" t="str">
        <f t="shared" si="2"/>
        <v>⚠ Regular</v>
      </c>
      <c r="K21" s="13">
        <f t="shared" si="3"/>
        <v>0.85</v>
      </c>
      <c r="L21" s="14">
        <f>SUMIFS(MANTENIMIENTOS!L:L,MANTENIMIENTOS!N:N,B21)+SUMIFS(MANTENIMIENTOS!M:M,MANTENIMIENTOS!N:N,B21)</f>
        <v>2970</v>
      </c>
    </row>
  </sheetData>
  <mergeCells count="23">
    <mergeCell ref="A10:L10"/>
    <mergeCell ref="E8:H8"/>
    <mergeCell ref="A1:P1"/>
    <mergeCell ref="A7:D7"/>
    <mergeCell ref="M3:N3"/>
    <mergeCell ref="C4:D5"/>
    <mergeCell ref="O4:P5"/>
    <mergeCell ref="E4:F5"/>
    <mergeCell ref="C3:D3"/>
    <mergeCell ref="E3:F3"/>
    <mergeCell ref="K3:L3"/>
    <mergeCell ref="A2:P2"/>
    <mergeCell ref="O3:P3"/>
    <mergeCell ref="A8:D8"/>
    <mergeCell ref="E7:H7"/>
    <mergeCell ref="A4:B5"/>
    <mergeCell ref="G4:H5"/>
    <mergeCell ref="I4:J5"/>
    <mergeCell ref="K4:L5"/>
    <mergeCell ref="A3:B3"/>
    <mergeCell ref="G3:H3"/>
    <mergeCell ref="M4:N5"/>
    <mergeCell ref="I3:J3"/>
  </mergeCells>
  <conditionalFormatting sqref="J12:J21">
    <cfRule type="expression" dxfId="26" priority="2">
      <formula>J12="✅ Óptimo"</formula>
    </cfRule>
    <cfRule type="expression" dxfId="25" priority="3">
      <formula>J12="⚠ Regular"</formula>
    </cfRule>
    <cfRule type="expression" dxfId="24" priority="4">
      <formula>J12="❌ Crítico"</formula>
    </cfRule>
  </conditionalFormatting>
  <conditionalFormatting sqref="H12:H21">
    <cfRule type="colorScale" priority="5">
      <colorScale>
        <cfvo type="num" val="0"/>
        <cfvo type="num" val="0.75"/>
        <cfvo type="num" val="1"/>
        <color rgb="FFC00000"/>
        <color rgb="FFFFD966"/>
        <color rgb="FF27AE60"/>
      </colorScale>
    </cfRule>
  </conditionalFormatting>
  <conditionalFormatting sqref="K12:K21">
    <cfRule type="dataBar" priority="6">
      <dataBar>
        <cfvo type="min"/>
        <cfvo type="max"/>
        <color rgb="FF2E75B6"/>
      </dataBar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Q1049"/>
  <sheetViews>
    <sheetView showGridLines="0" zoomScaleNormal="100" workbookViewId="0">
      <pane xSplit="16" ySplit="9" topLeftCell="Q28" activePane="bottomRight" state="frozen"/>
      <selection pane="topRight" activeCell="Q1" sqref="Q1"/>
      <selection pane="bottomLeft" activeCell="A28" sqref="A28"/>
      <selection pane="bottomRight"/>
    </sheetView>
  </sheetViews>
  <sheetFormatPr baseColWidth="10" defaultColWidth="8.6640625" defaultRowHeight="14.4" x14ac:dyDescent="0.3"/>
  <cols>
    <col min="1" max="1" width="5" style="1" customWidth="1"/>
    <col min="2" max="2" width="8" style="1" customWidth="1"/>
    <col min="3" max="3" width="26" style="1" customWidth="1"/>
    <col min="4" max="4" width="34" style="1" customWidth="1"/>
    <col min="5" max="5" width="12" style="1" customWidth="1"/>
    <col min="6" max="6" width="8" style="1" customWidth="1"/>
    <col min="7" max="7" width="12" style="1" customWidth="1"/>
    <col min="8" max="12" width="6" style="1" customWidth="1"/>
    <col min="13" max="15" width="10" style="1" customWidth="1"/>
    <col min="16" max="16" width="12" style="1" customWidth="1"/>
    <col min="17" max="17" width="11" style="1" customWidth="1"/>
  </cols>
  <sheetData>
    <row r="1" spans="1:17" ht="27.75" customHeight="1" x14ac:dyDescent="0.3">
      <c r="A1" s="154" t="s">
        <v>71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17" ht="18" customHeight="1" x14ac:dyDescent="0.3">
      <c r="A2" s="150" t="s">
        <v>72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1:17" ht="13.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15.75" customHeight="1" x14ac:dyDescent="0.3">
      <c r="A4" s="149" t="s">
        <v>73</v>
      </c>
      <c r="B4" s="121"/>
      <c r="C4" s="121"/>
      <c r="D4" s="138" t="s">
        <v>74</v>
      </c>
      <c r="E4" s="121"/>
      <c r="F4" s="121"/>
      <c r="G4" s="148" t="s">
        <v>75</v>
      </c>
      <c r="H4" s="121"/>
      <c r="I4" s="121"/>
      <c r="J4" s="131" t="s">
        <v>76</v>
      </c>
      <c r="K4" s="121"/>
      <c r="L4" s="121"/>
      <c r="M4" s="139" t="s">
        <v>77</v>
      </c>
      <c r="N4" s="121"/>
      <c r="O4" s="121"/>
      <c r="P4" s="141" t="s">
        <v>78</v>
      </c>
      <c r="Q4" s="121"/>
    </row>
    <row r="5" spans="1:17" ht="25.5" customHeight="1" x14ac:dyDescent="0.3">
      <c r="A5" s="158">
        <f>COUNTA(H10:H5000)</f>
        <v>40</v>
      </c>
      <c r="B5" s="125"/>
      <c r="C5" s="125"/>
      <c r="D5" s="151">
        <f>COUNTA(H10:H5000)</f>
        <v>40</v>
      </c>
      <c r="E5" s="125"/>
      <c r="F5" s="125"/>
      <c r="G5" s="159">
        <f>SUM(I10:I5000)</f>
        <v>32</v>
      </c>
      <c r="H5" s="125"/>
      <c r="I5" s="125"/>
      <c r="J5" s="152">
        <f>SUM(J10:J5000)</f>
        <v>4</v>
      </c>
      <c r="K5" s="125"/>
      <c r="L5" s="125"/>
      <c r="M5" s="155">
        <f>SUM(K10:K5000)</f>
        <v>0</v>
      </c>
      <c r="N5" s="125"/>
      <c r="O5" s="125"/>
      <c r="P5" s="157">
        <f>SUM(L10:L5000)</f>
        <v>4</v>
      </c>
      <c r="Q5" s="125"/>
    </row>
    <row r="6" spans="1:17" ht="9.75" customHeight="1" x14ac:dyDescent="0.3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ht="15.75" customHeight="1" x14ac:dyDescent="0.3">
      <c r="A7" s="153" t="s">
        <v>34</v>
      </c>
      <c r="B7" s="121"/>
      <c r="C7" s="121"/>
      <c r="D7" s="121"/>
      <c r="E7" s="121"/>
      <c r="F7" s="153" t="s">
        <v>35</v>
      </c>
      <c r="G7" s="121"/>
      <c r="H7" s="121"/>
      <c r="I7" s="121"/>
      <c r="J7" s="121"/>
      <c r="K7" s="153" t="s">
        <v>79</v>
      </c>
      <c r="L7" s="121"/>
      <c r="M7" s="121"/>
      <c r="N7" s="121"/>
      <c r="O7" s="153" t="s">
        <v>80</v>
      </c>
      <c r="P7" s="121"/>
      <c r="Q7" s="121"/>
    </row>
    <row r="8" spans="1:17" ht="21.75" customHeight="1" x14ac:dyDescent="0.3">
      <c r="A8" s="156">
        <f>IFERROR(SUM(PROGRAMA!I10:I5000)/COUNTA(PROGRAMA!H10:H5000),0)</f>
        <v>0.8</v>
      </c>
      <c r="B8" s="121"/>
      <c r="C8" s="121"/>
      <c r="D8" s="121"/>
      <c r="E8" s="121"/>
      <c r="F8" s="156">
        <f>IFERROR((SUM(PROGRAMA!I10:I5000)+SUM(PROGRAMA!J10:J5000))/(COUNTA(PROGRAMA!H10:H5000)-SUM(PROGRAMA!K10:K5000)),0)</f>
        <v>0.9</v>
      </c>
      <c r="G8" s="121"/>
      <c r="H8" s="121"/>
      <c r="I8" s="121"/>
      <c r="J8" s="121"/>
      <c r="K8" s="156">
        <f>CONFIG!B6</f>
        <v>0.9</v>
      </c>
      <c r="L8" s="121"/>
      <c r="M8" s="121"/>
      <c r="N8" s="121"/>
      <c r="O8" s="156">
        <f>CONFIG!B7</f>
        <v>0.8</v>
      </c>
      <c r="P8" s="121"/>
      <c r="Q8" s="121"/>
    </row>
    <row r="9" spans="1:17" ht="33.75" customHeight="1" x14ac:dyDescent="0.3">
      <c r="A9" s="16" t="s">
        <v>81</v>
      </c>
      <c r="B9" s="16" t="s">
        <v>82</v>
      </c>
      <c r="C9" s="16" t="s">
        <v>41</v>
      </c>
      <c r="D9" s="16" t="s">
        <v>83</v>
      </c>
      <c r="E9" s="16" t="s">
        <v>84</v>
      </c>
      <c r="F9" s="16" t="s">
        <v>85</v>
      </c>
      <c r="G9" s="16" t="s">
        <v>86</v>
      </c>
      <c r="H9" s="16" t="s">
        <v>42</v>
      </c>
      <c r="I9" s="16" t="s">
        <v>43</v>
      </c>
      <c r="J9" s="16" t="s">
        <v>44</v>
      </c>
      <c r="K9" s="16" t="s">
        <v>45</v>
      </c>
      <c r="L9" s="16" t="s">
        <v>46</v>
      </c>
      <c r="M9" s="16" t="s">
        <v>87</v>
      </c>
      <c r="N9" s="16" t="s">
        <v>88</v>
      </c>
      <c r="O9" s="16" t="s">
        <v>89</v>
      </c>
      <c r="P9" s="16" t="s">
        <v>90</v>
      </c>
      <c r="Q9" s="16" t="s">
        <v>91</v>
      </c>
    </row>
    <row r="10" spans="1:17" ht="21.75" customHeight="1" x14ac:dyDescent="0.3">
      <c r="A10" s="7">
        <v>1</v>
      </c>
      <c r="B10" s="7" t="s">
        <v>51</v>
      </c>
      <c r="C10" s="8" t="s">
        <v>52</v>
      </c>
      <c r="D10" s="17" t="s">
        <v>92</v>
      </c>
      <c r="E10" s="7" t="s">
        <v>93</v>
      </c>
      <c r="F10" s="7">
        <v>30</v>
      </c>
      <c r="G10" s="7" t="s">
        <v>94</v>
      </c>
      <c r="H10" s="18">
        <v>1</v>
      </c>
      <c r="I10" s="18">
        <f t="shared" ref="I10:I49" si="0">IF(M10="E",1,0)</f>
        <v>1</v>
      </c>
      <c r="J10" s="18">
        <f t="shared" ref="J10:J49" si="1">IF(M10="R",1,0)</f>
        <v>0</v>
      </c>
      <c r="K10" s="18">
        <f t="shared" ref="K10:K49" si="2">IF(M10="N",1,0)</f>
        <v>0</v>
      </c>
      <c r="L10" s="18">
        <f t="shared" ref="L10:L49" si="3">IF(OR(M10="P",M10=""),1,0)</f>
        <v>0</v>
      </c>
      <c r="M10" s="18" t="s">
        <v>43</v>
      </c>
      <c r="N10" s="19">
        <f t="shared" ref="N10:N49" si="4">IF(H10&gt;0,I10/H10,0)</f>
        <v>1</v>
      </c>
      <c r="O10" s="19">
        <f t="shared" ref="O10:O49" si="5">IF(H10&gt;0,(I10+J10)/H10,0)</f>
        <v>1</v>
      </c>
      <c r="P10" s="20">
        <f t="shared" ref="P10:P49" si="6">IFERROR(DATE(MID(E10,7,4)*1,MID(E10,4,2)*1,LEFT(E10,2)*1)+F10,"N/A")</f>
        <v>45869</v>
      </c>
      <c r="Q10" s="21">
        <f t="shared" ref="Q10:Q49" ca="1" si="7">IFERROR(P10-TODAY(),"N/A")</f>
        <v>-293</v>
      </c>
    </row>
    <row r="11" spans="1:17" ht="21.75" customHeight="1" x14ac:dyDescent="0.3">
      <c r="A11" s="11">
        <v>2</v>
      </c>
      <c r="B11" s="11" t="s">
        <v>51</v>
      </c>
      <c r="C11" s="12" t="s">
        <v>52</v>
      </c>
      <c r="D11" s="22" t="s">
        <v>95</v>
      </c>
      <c r="E11" s="11" t="s">
        <v>96</v>
      </c>
      <c r="F11" s="11">
        <v>15</v>
      </c>
      <c r="G11" s="11" t="s">
        <v>97</v>
      </c>
      <c r="H11" s="23">
        <v>1</v>
      </c>
      <c r="I11" s="23">
        <f t="shared" si="0"/>
        <v>1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 t="s">
        <v>43</v>
      </c>
      <c r="N11" s="24">
        <f t="shared" si="4"/>
        <v>1</v>
      </c>
      <c r="O11" s="24">
        <f t="shared" si="5"/>
        <v>1</v>
      </c>
      <c r="P11" s="25">
        <f t="shared" si="6"/>
        <v>45869</v>
      </c>
      <c r="Q11" s="26">
        <f t="shared" ca="1" si="7"/>
        <v>-293</v>
      </c>
    </row>
    <row r="12" spans="1:17" ht="21.75" customHeight="1" x14ac:dyDescent="0.3">
      <c r="A12" s="7">
        <v>3</v>
      </c>
      <c r="B12" s="7" t="s">
        <v>53</v>
      </c>
      <c r="C12" s="8" t="s">
        <v>54</v>
      </c>
      <c r="D12" s="17" t="s">
        <v>98</v>
      </c>
      <c r="E12" s="7" t="s">
        <v>99</v>
      </c>
      <c r="F12" s="7">
        <v>7</v>
      </c>
      <c r="G12" s="7" t="s">
        <v>100</v>
      </c>
      <c r="H12" s="18">
        <v>1</v>
      </c>
      <c r="I12" s="18">
        <f t="shared" si="0"/>
        <v>1</v>
      </c>
      <c r="J12" s="18">
        <f t="shared" si="1"/>
        <v>0</v>
      </c>
      <c r="K12" s="18">
        <f t="shared" si="2"/>
        <v>0</v>
      </c>
      <c r="L12" s="18">
        <f t="shared" si="3"/>
        <v>0</v>
      </c>
      <c r="M12" s="18" t="s">
        <v>43</v>
      </c>
      <c r="N12" s="19">
        <f t="shared" si="4"/>
        <v>1</v>
      </c>
      <c r="O12" s="19">
        <f t="shared" si="5"/>
        <v>1</v>
      </c>
      <c r="P12" s="20">
        <f t="shared" si="6"/>
        <v>45848</v>
      </c>
      <c r="Q12" s="21">
        <f t="shared" ca="1" si="7"/>
        <v>-314</v>
      </c>
    </row>
    <row r="13" spans="1:17" ht="21.75" customHeight="1" x14ac:dyDescent="0.3">
      <c r="A13" s="11">
        <v>4</v>
      </c>
      <c r="B13" s="11" t="s">
        <v>53</v>
      </c>
      <c r="C13" s="12" t="s">
        <v>54</v>
      </c>
      <c r="D13" s="22" t="s">
        <v>101</v>
      </c>
      <c r="E13" s="11" t="s">
        <v>99</v>
      </c>
      <c r="F13" s="11">
        <v>7</v>
      </c>
      <c r="G13" s="11" t="s">
        <v>100</v>
      </c>
      <c r="H13" s="23">
        <v>1</v>
      </c>
      <c r="I13" s="23">
        <f t="shared" si="0"/>
        <v>0</v>
      </c>
      <c r="J13" s="23">
        <f t="shared" si="1"/>
        <v>1</v>
      </c>
      <c r="K13" s="23">
        <f t="shared" si="2"/>
        <v>0</v>
      </c>
      <c r="L13" s="23">
        <f t="shared" si="3"/>
        <v>0</v>
      </c>
      <c r="M13" s="23" t="s">
        <v>44</v>
      </c>
      <c r="N13" s="24">
        <f t="shared" si="4"/>
        <v>0</v>
      </c>
      <c r="O13" s="24">
        <f t="shared" si="5"/>
        <v>1</v>
      </c>
      <c r="P13" s="25">
        <f t="shared" si="6"/>
        <v>45848</v>
      </c>
      <c r="Q13" s="26">
        <f t="shared" ca="1" si="7"/>
        <v>-314</v>
      </c>
    </row>
    <row r="14" spans="1:17" ht="21.75" customHeight="1" x14ac:dyDescent="0.3">
      <c r="A14" s="7">
        <v>5</v>
      </c>
      <c r="B14" s="7" t="s">
        <v>55</v>
      </c>
      <c r="C14" s="8" t="s">
        <v>56</v>
      </c>
      <c r="D14" s="17" t="s">
        <v>102</v>
      </c>
      <c r="E14" s="7" t="s">
        <v>103</v>
      </c>
      <c r="F14" s="7">
        <v>30</v>
      </c>
      <c r="G14" s="7" t="s">
        <v>94</v>
      </c>
      <c r="H14" s="18">
        <v>1</v>
      </c>
      <c r="I14" s="18">
        <f t="shared" si="0"/>
        <v>1</v>
      </c>
      <c r="J14" s="18">
        <f t="shared" si="1"/>
        <v>0</v>
      </c>
      <c r="K14" s="18">
        <f t="shared" si="2"/>
        <v>0</v>
      </c>
      <c r="L14" s="18">
        <f t="shared" si="3"/>
        <v>0</v>
      </c>
      <c r="M14" s="18" t="s">
        <v>43</v>
      </c>
      <c r="N14" s="19">
        <f t="shared" si="4"/>
        <v>1</v>
      </c>
      <c r="O14" s="19">
        <f t="shared" si="5"/>
        <v>1</v>
      </c>
      <c r="P14" s="20">
        <f t="shared" si="6"/>
        <v>45873</v>
      </c>
      <c r="Q14" s="21">
        <f t="shared" ca="1" si="7"/>
        <v>-289</v>
      </c>
    </row>
    <row r="15" spans="1:17" ht="21.75" customHeight="1" x14ac:dyDescent="0.3">
      <c r="A15" s="11">
        <v>6</v>
      </c>
      <c r="B15" s="11" t="s">
        <v>55</v>
      </c>
      <c r="C15" s="12" t="s">
        <v>56</v>
      </c>
      <c r="D15" s="22" t="s">
        <v>104</v>
      </c>
      <c r="E15" s="11" t="s">
        <v>105</v>
      </c>
      <c r="F15" s="11">
        <v>15</v>
      </c>
      <c r="G15" s="11" t="s">
        <v>97</v>
      </c>
      <c r="H15" s="23">
        <v>1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1</v>
      </c>
      <c r="M15" s="23" t="s">
        <v>46</v>
      </c>
      <c r="N15" s="24">
        <f t="shared" si="4"/>
        <v>0</v>
      </c>
      <c r="O15" s="24">
        <f t="shared" si="5"/>
        <v>0</v>
      </c>
      <c r="P15" s="25">
        <f t="shared" si="6"/>
        <v>45873</v>
      </c>
      <c r="Q15" s="26">
        <f t="shared" ca="1" si="7"/>
        <v>-289</v>
      </c>
    </row>
    <row r="16" spans="1:17" ht="21.75" customHeight="1" x14ac:dyDescent="0.3">
      <c r="A16" s="7">
        <v>7</v>
      </c>
      <c r="B16" s="7" t="s">
        <v>57</v>
      </c>
      <c r="C16" s="8" t="s">
        <v>58</v>
      </c>
      <c r="D16" s="17" t="s">
        <v>106</v>
      </c>
      <c r="E16" s="7" t="s">
        <v>107</v>
      </c>
      <c r="F16" s="7">
        <v>30</v>
      </c>
      <c r="G16" s="7" t="s">
        <v>94</v>
      </c>
      <c r="H16" s="18">
        <v>1</v>
      </c>
      <c r="I16" s="18">
        <f t="shared" si="0"/>
        <v>0</v>
      </c>
      <c r="J16" s="18">
        <f t="shared" si="1"/>
        <v>1</v>
      </c>
      <c r="K16" s="18">
        <f t="shared" si="2"/>
        <v>0</v>
      </c>
      <c r="L16" s="18">
        <f t="shared" si="3"/>
        <v>0</v>
      </c>
      <c r="M16" s="18" t="s">
        <v>44</v>
      </c>
      <c r="N16" s="19">
        <f t="shared" si="4"/>
        <v>0</v>
      </c>
      <c r="O16" s="19">
        <f t="shared" si="5"/>
        <v>1</v>
      </c>
      <c r="P16" s="20">
        <f t="shared" si="6"/>
        <v>45875</v>
      </c>
      <c r="Q16" s="21">
        <f t="shared" ca="1" si="7"/>
        <v>-287</v>
      </c>
    </row>
    <row r="17" spans="1:17" ht="21.75" customHeight="1" x14ac:dyDescent="0.3">
      <c r="A17" s="11">
        <v>8</v>
      </c>
      <c r="B17" s="11" t="s">
        <v>57</v>
      </c>
      <c r="C17" s="12" t="s">
        <v>58</v>
      </c>
      <c r="D17" s="22" t="s">
        <v>108</v>
      </c>
      <c r="E17" s="11" t="s">
        <v>107</v>
      </c>
      <c r="F17" s="11">
        <v>60</v>
      </c>
      <c r="G17" s="11" t="s">
        <v>109</v>
      </c>
      <c r="H17" s="23">
        <v>1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1</v>
      </c>
      <c r="M17" s="23" t="s">
        <v>46</v>
      </c>
      <c r="N17" s="24">
        <f t="shared" si="4"/>
        <v>0</v>
      </c>
      <c r="O17" s="24">
        <f t="shared" si="5"/>
        <v>0</v>
      </c>
      <c r="P17" s="25">
        <f t="shared" si="6"/>
        <v>45905</v>
      </c>
      <c r="Q17" s="26">
        <f t="shared" ca="1" si="7"/>
        <v>-257</v>
      </c>
    </row>
    <row r="18" spans="1:17" ht="21.75" customHeight="1" x14ac:dyDescent="0.3">
      <c r="A18" s="7">
        <v>9</v>
      </c>
      <c r="B18" s="7" t="s">
        <v>59</v>
      </c>
      <c r="C18" s="8" t="s">
        <v>60</v>
      </c>
      <c r="D18" s="17" t="s">
        <v>102</v>
      </c>
      <c r="E18" s="7" t="s">
        <v>110</v>
      </c>
      <c r="F18" s="7">
        <v>15</v>
      </c>
      <c r="G18" s="7" t="s">
        <v>97</v>
      </c>
      <c r="H18" s="18">
        <v>1</v>
      </c>
      <c r="I18" s="18">
        <f t="shared" si="0"/>
        <v>1</v>
      </c>
      <c r="J18" s="18">
        <f t="shared" si="1"/>
        <v>0</v>
      </c>
      <c r="K18" s="18">
        <f t="shared" si="2"/>
        <v>0</v>
      </c>
      <c r="L18" s="18">
        <f t="shared" si="3"/>
        <v>0</v>
      </c>
      <c r="M18" s="18" t="s">
        <v>43</v>
      </c>
      <c r="N18" s="19">
        <f t="shared" si="4"/>
        <v>1</v>
      </c>
      <c r="O18" s="19">
        <f t="shared" si="5"/>
        <v>1</v>
      </c>
      <c r="P18" s="20">
        <f t="shared" si="6"/>
        <v>45861</v>
      </c>
      <c r="Q18" s="21">
        <f t="shared" ca="1" si="7"/>
        <v>-301</v>
      </c>
    </row>
    <row r="19" spans="1:17" ht="21.75" customHeight="1" x14ac:dyDescent="0.3">
      <c r="A19" s="11">
        <v>10</v>
      </c>
      <c r="B19" s="11" t="s">
        <v>59</v>
      </c>
      <c r="C19" s="12" t="s">
        <v>60</v>
      </c>
      <c r="D19" s="22" t="s">
        <v>92</v>
      </c>
      <c r="E19" s="11" t="s">
        <v>111</v>
      </c>
      <c r="F19" s="11">
        <v>30</v>
      </c>
      <c r="G19" s="11" t="s">
        <v>94</v>
      </c>
      <c r="H19" s="23">
        <v>1</v>
      </c>
      <c r="I19" s="23">
        <f t="shared" si="0"/>
        <v>1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 t="s">
        <v>43</v>
      </c>
      <c r="N19" s="24">
        <f t="shared" si="4"/>
        <v>1</v>
      </c>
      <c r="O19" s="24">
        <f t="shared" si="5"/>
        <v>1</v>
      </c>
      <c r="P19" s="25">
        <f t="shared" si="6"/>
        <v>45891</v>
      </c>
      <c r="Q19" s="26">
        <f t="shared" ca="1" si="7"/>
        <v>-271</v>
      </c>
    </row>
    <row r="20" spans="1:17" ht="21.75" customHeight="1" x14ac:dyDescent="0.3">
      <c r="A20" s="7">
        <v>11</v>
      </c>
      <c r="B20" s="7" t="s">
        <v>61</v>
      </c>
      <c r="C20" s="8" t="s">
        <v>62</v>
      </c>
      <c r="D20" s="17" t="s">
        <v>98</v>
      </c>
      <c r="E20" s="7" t="s">
        <v>112</v>
      </c>
      <c r="F20" s="7">
        <v>7</v>
      </c>
      <c r="G20" s="7" t="s">
        <v>100</v>
      </c>
      <c r="H20" s="18">
        <v>1</v>
      </c>
      <c r="I20" s="18">
        <f t="shared" si="0"/>
        <v>1</v>
      </c>
      <c r="J20" s="18">
        <f t="shared" si="1"/>
        <v>0</v>
      </c>
      <c r="K20" s="18">
        <f t="shared" si="2"/>
        <v>0</v>
      </c>
      <c r="L20" s="18">
        <f t="shared" si="3"/>
        <v>0</v>
      </c>
      <c r="M20" s="18" t="s">
        <v>43</v>
      </c>
      <c r="N20" s="19">
        <f t="shared" si="4"/>
        <v>1</v>
      </c>
      <c r="O20" s="19">
        <f t="shared" si="5"/>
        <v>1</v>
      </c>
      <c r="P20" s="20">
        <f t="shared" si="6"/>
        <v>45855</v>
      </c>
      <c r="Q20" s="21">
        <f t="shared" ca="1" si="7"/>
        <v>-307</v>
      </c>
    </row>
    <row r="21" spans="1:17" ht="21.75" customHeight="1" x14ac:dyDescent="0.3">
      <c r="A21" s="11">
        <v>12</v>
      </c>
      <c r="B21" s="11" t="s">
        <v>61</v>
      </c>
      <c r="C21" s="12" t="s">
        <v>62</v>
      </c>
      <c r="D21" s="22" t="s">
        <v>113</v>
      </c>
      <c r="E21" s="11" t="s">
        <v>112</v>
      </c>
      <c r="F21" s="11">
        <v>60</v>
      </c>
      <c r="G21" s="11" t="s">
        <v>109</v>
      </c>
      <c r="H21" s="23">
        <v>1</v>
      </c>
      <c r="I21" s="23">
        <f t="shared" si="0"/>
        <v>1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 t="s">
        <v>43</v>
      </c>
      <c r="N21" s="24">
        <f t="shared" si="4"/>
        <v>1</v>
      </c>
      <c r="O21" s="24">
        <f t="shared" si="5"/>
        <v>1</v>
      </c>
      <c r="P21" s="25">
        <f t="shared" si="6"/>
        <v>45908</v>
      </c>
      <c r="Q21" s="26">
        <f t="shared" ca="1" si="7"/>
        <v>-254</v>
      </c>
    </row>
    <row r="22" spans="1:17" ht="21.75" customHeight="1" x14ac:dyDescent="0.3">
      <c r="A22" s="7">
        <v>13</v>
      </c>
      <c r="B22" s="7" t="s">
        <v>63</v>
      </c>
      <c r="C22" s="8" t="s">
        <v>64</v>
      </c>
      <c r="D22" s="17" t="s">
        <v>106</v>
      </c>
      <c r="E22" s="7" t="s">
        <v>114</v>
      </c>
      <c r="F22" s="7">
        <v>30</v>
      </c>
      <c r="G22" s="7" t="s">
        <v>94</v>
      </c>
      <c r="H22" s="18">
        <v>1</v>
      </c>
      <c r="I22" s="18">
        <f t="shared" si="0"/>
        <v>0</v>
      </c>
      <c r="J22" s="18">
        <f t="shared" si="1"/>
        <v>1</v>
      </c>
      <c r="K22" s="18">
        <f t="shared" si="2"/>
        <v>0</v>
      </c>
      <c r="L22" s="18">
        <f t="shared" si="3"/>
        <v>0</v>
      </c>
      <c r="M22" s="18" t="s">
        <v>44</v>
      </c>
      <c r="N22" s="19">
        <f t="shared" si="4"/>
        <v>0</v>
      </c>
      <c r="O22" s="19">
        <f t="shared" si="5"/>
        <v>1</v>
      </c>
      <c r="P22" s="20">
        <f t="shared" si="6"/>
        <v>45880</v>
      </c>
      <c r="Q22" s="21">
        <f t="shared" ca="1" si="7"/>
        <v>-282</v>
      </c>
    </row>
    <row r="23" spans="1:17" ht="21.75" customHeight="1" x14ac:dyDescent="0.3">
      <c r="A23" s="11">
        <v>14</v>
      </c>
      <c r="B23" s="11" t="s">
        <v>63</v>
      </c>
      <c r="C23" s="12" t="s">
        <v>64</v>
      </c>
      <c r="D23" s="22" t="s">
        <v>115</v>
      </c>
      <c r="E23" s="11" t="s">
        <v>116</v>
      </c>
      <c r="F23" s="11">
        <v>15</v>
      </c>
      <c r="G23" s="11" t="s">
        <v>97</v>
      </c>
      <c r="H23" s="23">
        <v>1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1</v>
      </c>
      <c r="M23" s="23" t="s">
        <v>46</v>
      </c>
      <c r="N23" s="24">
        <f t="shared" si="4"/>
        <v>0</v>
      </c>
      <c r="O23" s="24">
        <f t="shared" si="5"/>
        <v>0</v>
      </c>
      <c r="P23" s="25">
        <f t="shared" si="6"/>
        <v>45880</v>
      </c>
      <c r="Q23" s="26">
        <f t="shared" ca="1" si="7"/>
        <v>-282</v>
      </c>
    </row>
    <row r="24" spans="1:17" ht="21.75" customHeight="1" x14ac:dyDescent="0.3">
      <c r="A24" s="7">
        <v>15</v>
      </c>
      <c r="B24" s="7" t="s">
        <v>65</v>
      </c>
      <c r="C24" s="8" t="s">
        <v>66</v>
      </c>
      <c r="D24" s="17" t="s">
        <v>101</v>
      </c>
      <c r="E24" s="7" t="s">
        <v>117</v>
      </c>
      <c r="F24" s="7">
        <v>7</v>
      </c>
      <c r="G24" s="7" t="s">
        <v>100</v>
      </c>
      <c r="H24" s="18">
        <v>1</v>
      </c>
      <c r="I24" s="18">
        <f t="shared" si="0"/>
        <v>1</v>
      </c>
      <c r="J24" s="18">
        <f t="shared" si="1"/>
        <v>0</v>
      </c>
      <c r="K24" s="18">
        <f t="shared" si="2"/>
        <v>0</v>
      </c>
      <c r="L24" s="18">
        <f t="shared" si="3"/>
        <v>0</v>
      </c>
      <c r="M24" s="18" t="s">
        <v>43</v>
      </c>
      <c r="N24" s="19">
        <f t="shared" si="4"/>
        <v>1</v>
      </c>
      <c r="O24" s="19">
        <f t="shared" si="5"/>
        <v>1</v>
      </c>
      <c r="P24" s="20">
        <f t="shared" si="6"/>
        <v>45859</v>
      </c>
      <c r="Q24" s="21">
        <f t="shared" ca="1" si="7"/>
        <v>-303</v>
      </c>
    </row>
    <row r="25" spans="1:17" ht="21.75" customHeight="1" x14ac:dyDescent="0.3">
      <c r="A25" s="11">
        <v>16</v>
      </c>
      <c r="B25" s="11" t="s">
        <v>65</v>
      </c>
      <c r="C25" s="12" t="s">
        <v>66</v>
      </c>
      <c r="D25" s="22" t="s">
        <v>113</v>
      </c>
      <c r="E25" s="11" t="s">
        <v>117</v>
      </c>
      <c r="F25" s="11">
        <v>30</v>
      </c>
      <c r="G25" s="11" t="s">
        <v>94</v>
      </c>
      <c r="H25" s="23">
        <v>1</v>
      </c>
      <c r="I25" s="23">
        <f t="shared" si="0"/>
        <v>1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 t="s">
        <v>43</v>
      </c>
      <c r="N25" s="24">
        <f t="shared" si="4"/>
        <v>1</v>
      </c>
      <c r="O25" s="24">
        <f t="shared" si="5"/>
        <v>1</v>
      </c>
      <c r="P25" s="25">
        <f t="shared" si="6"/>
        <v>45882</v>
      </c>
      <c r="Q25" s="26">
        <f t="shared" ca="1" si="7"/>
        <v>-280</v>
      </c>
    </row>
    <row r="26" spans="1:17" ht="21.75" customHeight="1" x14ac:dyDescent="0.3">
      <c r="A26" s="7">
        <v>17</v>
      </c>
      <c r="B26" s="7" t="s">
        <v>67</v>
      </c>
      <c r="C26" s="8" t="s">
        <v>68</v>
      </c>
      <c r="D26" s="17" t="s">
        <v>95</v>
      </c>
      <c r="E26" s="7" t="s">
        <v>118</v>
      </c>
      <c r="F26" s="7">
        <v>15</v>
      </c>
      <c r="G26" s="7" t="s">
        <v>97</v>
      </c>
      <c r="H26" s="18">
        <v>1</v>
      </c>
      <c r="I26" s="18">
        <f t="shared" si="0"/>
        <v>1</v>
      </c>
      <c r="J26" s="18">
        <f t="shared" si="1"/>
        <v>0</v>
      </c>
      <c r="K26" s="18">
        <f t="shared" si="2"/>
        <v>0</v>
      </c>
      <c r="L26" s="18">
        <f t="shared" si="3"/>
        <v>0</v>
      </c>
      <c r="M26" s="18" t="s">
        <v>43</v>
      </c>
      <c r="N26" s="19">
        <f t="shared" si="4"/>
        <v>1</v>
      </c>
      <c r="O26" s="19">
        <f t="shared" si="5"/>
        <v>1</v>
      </c>
      <c r="P26" s="20">
        <f t="shared" si="6"/>
        <v>45868</v>
      </c>
      <c r="Q26" s="21">
        <f t="shared" ca="1" si="7"/>
        <v>-294</v>
      </c>
    </row>
    <row r="27" spans="1:17" ht="21.75" customHeight="1" x14ac:dyDescent="0.3">
      <c r="A27" s="11">
        <v>18</v>
      </c>
      <c r="B27" s="11" t="s">
        <v>67</v>
      </c>
      <c r="C27" s="12" t="s">
        <v>68</v>
      </c>
      <c r="D27" s="22" t="s">
        <v>92</v>
      </c>
      <c r="E27" s="11" t="s">
        <v>118</v>
      </c>
      <c r="F27" s="11">
        <v>60</v>
      </c>
      <c r="G27" s="11" t="s">
        <v>109</v>
      </c>
      <c r="H27" s="23">
        <v>1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1</v>
      </c>
      <c r="M27" s="23" t="s">
        <v>46</v>
      </c>
      <c r="N27" s="24">
        <f t="shared" si="4"/>
        <v>0</v>
      </c>
      <c r="O27" s="24">
        <f t="shared" si="5"/>
        <v>0</v>
      </c>
      <c r="P27" s="25">
        <f t="shared" si="6"/>
        <v>45913</v>
      </c>
      <c r="Q27" s="26">
        <f t="shared" ca="1" si="7"/>
        <v>-249</v>
      </c>
    </row>
    <row r="28" spans="1:17" ht="21.75" customHeight="1" x14ac:dyDescent="0.3">
      <c r="A28" s="7">
        <v>19</v>
      </c>
      <c r="B28" s="7" t="s">
        <v>69</v>
      </c>
      <c r="C28" s="8" t="s">
        <v>70</v>
      </c>
      <c r="D28" s="17" t="s">
        <v>98</v>
      </c>
      <c r="E28" s="7" t="s">
        <v>119</v>
      </c>
      <c r="F28" s="7">
        <v>7</v>
      </c>
      <c r="G28" s="7" t="s">
        <v>100</v>
      </c>
      <c r="H28" s="18">
        <v>1</v>
      </c>
      <c r="I28" s="18">
        <f t="shared" si="0"/>
        <v>1</v>
      </c>
      <c r="J28" s="18">
        <f t="shared" si="1"/>
        <v>0</v>
      </c>
      <c r="K28" s="18">
        <f t="shared" si="2"/>
        <v>0</v>
      </c>
      <c r="L28" s="18">
        <f t="shared" si="3"/>
        <v>0</v>
      </c>
      <c r="M28" s="18" t="s">
        <v>43</v>
      </c>
      <c r="N28" s="19">
        <f t="shared" si="4"/>
        <v>1</v>
      </c>
      <c r="O28" s="19">
        <f t="shared" si="5"/>
        <v>1</v>
      </c>
      <c r="P28" s="20">
        <f t="shared" si="6"/>
        <v>45862</v>
      </c>
      <c r="Q28" s="21">
        <f t="shared" ca="1" si="7"/>
        <v>-300</v>
      </c>
    </row>
    <row r="29" spans="1:17" ht="21.75" customHeight="1" x14ac:dyDescent="0.3">
      <c r="A29" s="11">
        <v>20</v>
      </c>
      <c r="B29" s="11" t="s">
        <v>69</v>
      </c>
      <c r="C29" s="12" t="s">
        <v>70</v>
      </c>
      <c r="D29" s="22" t="s">
        <v>102</v>
      </c>
      <c r="E29" s="11" t="s">
        <v>119</v>
      </c>
      <c r="F29" s="11">
        <v>30</v>
      </c>
      <c r="G29" s="11" t="s">
        <v>94</v>
      </c>
      <c r="H29" s="23">
        <v>1</v>
      </c>
      <c r="I29" s="23">
        <f t="shared" si="0"/>
        <v>1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 t="s">
        <v>43</v>
      </c>
      <c r="N29" s="24">
        <f t="shared" si="4"/>
        <v>1</v>
      </c>
      <c r="O29" s="24">
        <f t="shared" si="5"/>
        <v>1</v>
      </c>
      <c r="P29" s="25">
        <f t="shared" si="6"/>
        <v>45885</v>
      </c>
      <c r="Q29" s="26">
        <f t="shared" ca="1" si="7"/>
        <v>-277</v>
      </c>
    </row>
    <row r="30" spans="1:17" ht="14.25" customHeight="1" x14ac:dyDescent="0.3">
      <c r="A30" s="1">
        <v>21</v>
      </c>
      <c r="B30" s="1" t="s">
        <v>51</v>
      </c>
      <c r="C30" s="1" t="s">
        <v>52</v>
      </c>
      <c r="D30" s="1" t="s">
        <v>120</v>
      </c>
      <c r="E30" s="1" t="s">
        <v>121</v>
      </c>
      <c r="F30" s="1">
        <v>30</v>
      </c>
      <c r="G30" s="1" t="s">
        <v>94</v>
      </c>
      <c r="H30" s="1">
        <v>1</v>
      </c>
      <c r="I30" s="1">
        <f t="shared" si="0"/>
        <v>1</v>
      </c>
      <c r="J30" s="1">
        <f t="shared" si="1"/>
        <v>0</v>
      </c>
      <c r="K30" s="1">
        <f t="shared" si="2"/>
        <v>0</v>
      </c>
      <c r="L30" s="1">
        <f t="shared" si="3"/>
        <v>0</v>
      </c>
      <c r="M30" s="1" t="s">
        <v>43</v>
      </c>
      <c r="N30" s="1">
        <f t="shared" si="4"/>
        <v>1</v>
      </c>
      <c r="O30" s="1">
        <f t="shared" si="5"/>
        <v>1</v>
      </c>
      <c r="P30" s="27">
        <f t="shared" si="6"/>
        <v>45697</v>
      </c>
      <c r="Q30" s="1">
        <f t="shared" ca="1" si="7"/>
        <v>-465</v>
      </c>
    </row>
    <row r="31" spans="1:17" ht="14.25" customHeight="1" x14ac:dyDescent="0.3">
      <c r="A31" s="1">
        <v>22</v>
      </c>
      <c r="B31" s="1" t="s">
        <v>51</v>
      </c>
      <c r="C31" s="1" t="s">
        <v>52</v>
      </c>
      <c r="D31" s="1" t="s">
        <v>122</v>
      </c>
      <c r="E31" s="1" t="s">
        <v>123</v>
      </c>
      <c r="F31" s="1">
        <v>90</v>
      </c>
      <c r="G31" s="1" t="s">
        <v>124</v>
      </c>
      <c r="H31" s="1">
        <v>1</v>
      </c>
      <c r="I31" s="1">
        <f t="shared" si="0"/>
        <v>1</v>
      </c>
      <c r="J31" s="1">
        <f t="shared" si="1"/>
        <v>0</v>
      </c>
      <c r="K31" s="1">
        <f t="shared" si="2"/>
        <v>0</v>
      </c>
      <c r="L31" s="1">
        <f t="shared" si="3"/>
        <v>0</v>
      </c>
      <c r="M31" s="1" t="s">
        <v>43</v>
      </c>
      <c r="N31" s="1">
        <f t="shared" si="4"/>
        <v>1</v>
      </c>
      <c r="O31" s="1">
        <f t="shared" si="5"/>
        <v>1</v>
      </c>
      <c r="P31" s="27">
        <f t="shared" si="6"/>
        <v>45847</v>
      </c>
      <c r="Q31" s="1">
        <f t="shared" ca="1" si="7"/>
        <v>-315</v>
      </c>
    </row>
    <row r="32" spans="1:17" ht="14.25" customHeight="1" x14ac:dyDescent="0.3">
      <c r="A32" s="1">
        <v>23</v>
      </c>
      <c r="B32" s="1" t="s">
        <v>53</v>
      </c>
      <c r="C32" s="1" t="s">
        <v>54</v>
      </c>
      <c r="D32" s="1" t="s">
        <v>125</v>
      </c>
      <c r="E32" s="1" t="s">
        <v>126</v>
      </c>
      <c r="F32" s="1">
        <v>30</v>
      </c>
      <c r="G32" s="1" t="s">
        <v>94</v>
      </c>
      <c r="H32" s="1">
        <v>1</v>
      </c>
      <c r="I32" s="1">
        <f t="shared" si="0"/>
        <v>1</v>
      </c>
      <c r="J32" s="1">
        <f t="shared" si="1"/>
        <v>0</v>
      </c>
      <c r="K32" s="1">
        <f t="shared" si="2"/>
        <v>0</v>
      </c>
      <c r="L32" s="1">
        <f t="shared" si="3"/>
        <v>0</v>
      </c>
      <c r="M32" s="1" t="s">
        <v>43</v>
      </c>
      <c r="N32" s="1">
        <f t="shared" si="4"/>
        <v>1</v>
      </c>
      <c r="O32" s="1">
        <f t="shared" si="5"/>
        <v>1</v>
      </c>
      <c r="P32" s="27">
        <f t="shared" si="6"/>
        <v>45692</v>
      </c>
      <c r="Q32" s="1">
        <f t="shared" ca="1" si="7"/>
        <v>-470</v>
      </c>
    </row>
    <row r="33" spans="1:17" ht="14.25" customHeight="1" x14ac:dyDescent="0.3">
      <c r="A33" s="1">
        <v>24</v>
      </c>
      <c r="B33" s="1" t="s">
        <v>53</v>
      </c>
      <c r="C33" s="1" t="s">
        <v>54</v>
      </c>
      <c r="D33" s="1" t="s">
        <v>127</v>
      </c>
      <c r="E33" s="1" t="s">
        <v>128</v>
      </c>
      <c r="F33" s="1">
        <v>60</v>
      </c>
      <c r="G33" s="1" t="s">
        <v>109</v>
      </c>
      <c r="H33" s="1">
        <v>1</v>
      </c>
      <c r="I33" s="1">
        <f t="shared" si="0"/>
        <v>1</v>
      </c>
      <c r="J33" s="1">
        <f t="shared" si="1"/>
        <v>0</v>
      </c>
      <c r="K33" s="1">
        <f t="shared" si="2"/>
        <v>0</v>
      </c>
      <c r="L33" s="1">
        <f t="shared" si="3"/>
        <v>0</v>
      </c>
      <c r="M33" s="1" t="s">
        <v>43</v>
      </c>
      <c r="N33" s="1">
        <f t="shared" si="4"/>
        <v>1</v>
      </c>
      <c r="O33" s="1">
        <f t="shared" si="5"/>
        <v>1</v>
      </c>
      <c r="P33" s="27">
        <f t="shared" si="6"/>
        <v>45781</v>
      </c>
      <c r="Q33" s="1">
        <f t="shared" ca="1" si="7"/>
        <v>-381</v>
      </c>
    </row>
    <row r="34" spans="1:17" ht="14.25" customHeight="1" x14ac:dyDescent="0.3">
      <c r="A34" s="1">
        <v>25</v>
      </c>
      <c r="B34" s="1" t="s">
        <v>55</v>
      </c>
      <c r="C34" s="1" t="s">
        <v>56</v>
      </c>
      <c r="D34" s="1" t="s">
        <v>129</v>
      </c>
      <c r="E34" s="1" t="s">
        <v>130</v>
      </c>
      <c r="F34" s="1">
        <v>30</v>
      </c>
      <c r="G34" s="1" t="s">
        <v>94</v>
      </c>
      <c r="H34" s="1">
        <v>1</v>
      </c>
      <c r="I34" s="1">
        <f t="shared" si="0"/>
        <v>1</v>
      </c>
      <c r="J34" s="1">
        <f t="shared" si="1"/>
        <v>0</v>
      </c>
      <c r="K34" s="1">
        <f t="shared" si="2"/>
        <v>0</v>
      </c>
      <c r="L34" s="1">
        <f t="shared" si="3"/>
        <v>0</v>
      </c>
      <c r="M34" s="1" t="s">
        <v>43</v>
      </c>
      <c r="N34" s="1">
        <f t="shared" si="4"/>
        <v>1</v>
      </c>
      <c r="O34" s="1">
        <f t="shared" si="5"/>
        <v>1</v>
      </c>
      <c r="P34" s="27">
        <f t="shared" si="6"/>
        <v>45707</v>
      </c>
      <c r="Q34" s="1">
        <f t="shared" ca="1" si="7"/>
        <v>-455</v>
      </c>
    </row>
    <row r="35" spans="1:17" ht="14.25" customHeight="1" x14ac:dyDescent="0.3">
      <c r="A35" s="1">
        <v>26</v>
      </c>
      <c r="B35" s="1" t="s">
        <v>55</v>
      </c>
      <c r="C35" s="1" t="s">
        <v>56</v>
      </c>
      <c r="D35" s="1" t="s">
        <v>131</v>
      </c>
      <c r="E35" s="1" t="s">
        <v>132</v>
      </c>
      <c r="F35" s="1">
        <v>90</v>
      </c>
      <c r="G35" s="1" t="s">
        <v>124</v>
      </c>
      <c r="H35" s="1">
        <v>1</v>
      </c>
      <c r="I35" s="1">
        <f t="shared" si="0"/>
        <v>1</v>
      </c>
      <c r="J35" s="1">
        <f t="shared" si="1"/>
        <v>0</v>
      </c>
      <c r="K35" s="1">
        <f t="shared" si="2"/>
        <v>0</v>
      </c>
      <c r="L35" s="1">
        <f t="shared" si="3"/>
        <v>0</v>
      </c>
      <c r="M35" s="1" t="s">
        <v>43</v>
      </c>
      <c r="N35" s="1">
        <f t="shared" si="4"/>
        <v>1</v>
      </c>
      <c r="O35" s="1">
        <f t="shared" si="5"/>
        <v>1</v>
      </c>
      <c r="P35" s="27">
        <f t="shared" si="6"/>
        <v>45857</v>
      </c>
      <c r="Q35" s="1">
        <f t="shared" ca="1" si="7"/>
        <v>-305</v>
      </c>
    </row>
    <row r="36" spans="1:17" ht="14.25" customHeight="1" x14ac:dyDescent="0.3">
      <c r="A36" s="1">
        <v>27</v>
      </c>
      <c r="B36" s="1" t="s">
        <v>57</v>
      </c>
      <c r="C36" s="1" t="s">
        <v>58</v>
      </c>
      <c r="D36" s="1" t="s">
        <v>133</v>
      </c>
      <c r="E36" s="1" t="s">
        <v>134</v>
      </c>
      <c r="F36" s="1">
        <v>60</v>
      </c>
      <c r="G36" s="1" t="s">
        <v>109</v>
      </c>
      <c r="H36" s="1">
        <v>1</v>
      </c>
      <c r="I36" s="1">
        <f t="shared" si="0"/>
        <v>1</v>
      </c>
      <c r="J36" s="1">
        <f t="shared" si="1"/>
        <v>0</v>
      </c>
      <c r="K36" s="1">
        <f t="shared" si="2"/>
        <v>0</v>
      </c>
      <c r="L36" s="1">
        <f t="shared" si="3"/>
        <v>0</v>
      </c>
      <c r="M36" s="1" t="s">
        <v>43</v>
      </c>
      <c r="N36" s="1">
        <f t="shared" si="4"/>
        <v>1</v>
      </c>
      <c r="O36" s="1">
        <f t="shared" si="5"/>
        <v>1</v>
      </c>
      <c r="P36" s="27">
        <f t="shared" si="6"/>
        <v>45724</v>
      </c>
      <c r="Q36" s="1">
        <f t="shared" ca="1" si="7"/>
        <v>-438</v>
      </c>
    </row>
    <row r="37" spans="1:17" ht="14.25" customHeight="1" x14ac:dyDescent="0.3">
      <c r="A37" s="1">
        <v>28</v>
      </c>
      <c r="B37" s="1" t="s">
        <v>57</v>
      </c>
      <c r="C37" s="1" t="s">
        <v>58</v>
      </c>
      <c r="D37" s="1" t="s">
        <v>135</v>
      </c>
      <c r="E37" s="1" t="s">
        <v>136</v>
      </c>
      <c r="F37" s="1">
        <v>30</v>
      </c>
      <c r="G37" s="1" t="s">
        <v>94</v>
      </c>
      <c r="H37" s="1">
        <v>1</v>
      </c>
      <c r="I37" s="1">
        <f t="shared" si="0"/>
        <v>1</v>
      </c>
      <c r="J37" s="1">
        <f t="shared" si="1"/>
        <v>0</v>
      </c>
      <c r="K37" s="1">
        <f t="shared" si="2"/>
        <v>0</v>
      </c>
      <c r="L37" s="1">
        <f t="shared" si="3"/>
        <v>0</v>
      </c>
      <c r="M37" s="1" t="s">
        <v>43</v>
      </c>
      <c r="N37" s="1">
        <f t="shared" si="4"/>
        <v>1</v>
      </c>
      <c r="O37" s="1">
        <f t="shared" si="5"/>
        <v>1</v>
      </c>
      <c r="P37" s="27">
        <f t="shared" si="6"/>
        <v>45766</v>
      </c>
      <c r="Q37" s="1">
        <f t="shared" ca="1" si="7"/>
        <v>-396</v>
      </c>
    </row>
    <row r="38" spans="1:17" ht="14.25" customHeight="1" x14ac:dyDescent="0.3">
      <c r="A38" s="1">
        <v>29</v>
      </c>
      <c r="B38" s="1" t="s">
        <v>59</v>
      </c>
      <c r="C38" s="1" t="s">
        <v>60</v>
      </c>
      <c r="D38" s="1" t="s">
        <v>137</v>
      </c>
      <c r="E38" s="1" t="s">
        <v>138</v>
      </c>
      <c r="F38" s="1">
        <v>30</v>
      </c>
      <c r="G38" s="1" t="s">
        <v>94</v>
      </c>
      <c r="H38" s="1">
        <v>1</v>
      </c>
      <c r="I38" s="1">
        <f t="shared" si="0"/>
        <v>1</v>
      </c>
      <c r="J38" s="1">
        <f t="shared" si="1"/>
        <v>0</v>
      </c>
      <c r="K38" s="1">
        <f t="shared" si="2"/>
        <v>0</v>
      </c>
      <c r="L38" s="1">
        <f t="shared" si="3"/>
        <v>0</v>
      </c>
      <c r="M38" s="1" t="s">
        <v>43</v>
      </c>
      <c r="N38" s="1">
        <f t="shared" si="4"/>
        <v>1</v>
      </c>
      <c r="O38" s="1">
        <f t="shared" si="5"/>
        <v>1</v>
      </c>
      <c r="P38" s="27">
        <f t="shared" si="6"/>
        <v>45699</v>
      </c>
      <c r="Q38" s="1">
        <f t="shared" ca="1" si="7"/>
        <v>-463</v>
      </c>
    </row>
    <row r="39" spans="1:17" ht="14.25" customHeight="1" x14ac:dyDescent="0.3">
      <c r="A39" s="1">
        <v>30</v>
      </c>
      <c r="B39" s="1" t="s">
        <v>59</v>
      </c>
      <c r="C39" s="1" t="s">
        <v>60</v>
      </c>
      <c r="D39" s="1" t="s">
        <v>139</v>
      </c>
      <c r="E39" s="1" t="s">
        <v>140</v>
      </c>
      <c r="F39" s="1">
        <v>30</v>
      </c>
      <c r="G39" s="1" t="s">
        <v>94</v>
      </c>
      <c r="H39" s="1">
        <v>1</v>
      </c>
      <c r="I39" s="1">
        <f t="shared" si="0"/>
        <v>1</v>
      </c>
      <c r="J39" s="1">
        <f t="shared" si="1"/>
        <v>0</v>
      </c>
      <c r="K39" s="1">
        <f t="shared" si="2"/>
        <v>0</v>
      </c>
      <c r="L39" s="1">
        <f t="shared" si="3"/>
        <v>0</v>
      </c>
      <c r="M39" s="1" t="s">
        <v>43</v>
      </c>
      <c r="N39" s="1">
        <f t="shared" si="4"/>
        <v>1</v>
      </c>
      <c r="O39" s="1">
        <f t="shared" si="5"/>
        <v>1</v>
      </c>
      <c r="P39" s="27">
        <f t="shared" si="6"/>
        <v>45772</v>
      </c>
      <c r="Q39" s="1">
        <f t="shared" ca="1" si="7"/>
        <v>-390</v>
      </c>
    </row>
    <row r="40" spans="1:17" ht="14.25" customHeight="1" x14ac:dyDescent="0.3">
      <c r="A40" s="1">
        <v>31</v>
      </c>
      <c r="B40" s="1" t="s">
        <v>61</v>
      </c>
      <c r="C40" s="1" t="s">
        <v>62</v>
      </c>
      <c r="D40" s="1" t="s">
        <v>141</v>
      </c>
      <c r="E40" s="1" t="s">
        <v>121</v>
      </c>
      <c r="F40" s="1">
        <v>30</v>
      </c>
      <c r="G40" s="1" t="s">
        <v>94</v>
      </c>
      <c r="H40" s="1">
        <v>1</v>
      </c>
      <c r="I40" s="1">
        <f t="shared" si="0"/>
        <v>1</v>
      </c>
      <c r="J40" s="1">
        <f t="shared" si="1"/>
        <v>0</v>
      </c>
      <c r="K40" s="1">
        <f t="shared" si="2"/>
        <v>0</v>
      </c>
      <c r="L40" s="1">
        <f t="shared" si="3"/>
        <v>0</v>
      </c>
      <c r="M40" s="1" t="s">
        <v>43</v>
      </c>
      <c r="N40" s="1">
        <f t="shared" si="4"/>
        <v>1</v>
      </c>
      <c r="O40" s="1">
        <f t="shared" si="5"/>
        <v>1</v>
      </c>
      <c r="P40" s="27">
        <f t="shared" si="6"/>
        <v>45697</v>
      </c>
      <c r="Q40" s="1">
        <f t="shared" ca="1" si="7"/>
        <v>-465</v>
      </c>
    </row>
    <row r="41" spans="1:17" ht="14.25" customHeight="1" x14ac:dyDescent="0.3">
      <c r="A41" s="1">
        <v>32</v>
      </c>
      <c r="B41" s="1" t="s">
        <v>61</v>
      </c>
      <c r="C41" s="1" t="s">
        <v>62</v>
      </c>
      <c r="D41" s="1" t="s">
        <v>142</v>
      </c>
      <c r="E41" s="1" t="s">
        <v>143</v>
      </c>
      <c r="F41" s="1">
        <v>60</v>
      </c>
      <c r="G41" s="1" t="s">
        <v>109</v>
      </c>
      <c r="H41" s="1">
        <v>1</v>
      </c>
      <c r="I41" s="1">
        <f t="shared" si="0"/>
        <v>1</v>
      </c>
      <c r="J41" s="1">
        <f t="shared" si="1"/>
        <v>0</v>
      </c>
      <c r="K41" s="1">
        <f t="shared" si="2"/>
        <v>0</v>
      </c>
      <c r="L41" s="1">
        <f t="shared" si="3"/>
        <v>0</v>
      </c>
      <c r="M41" s="1" t="s">
        <v>43</v>
      </c>
      <c r="N41" s="1">
        <f t="shared" si="4"/>
        <v>1</v>
      </c>
      <c r="O41" s="1">
        <f t="shared" si="5"/>
        <v>1</v>
      </c>
      <c r="P41" s="27">
        <f t="shared" si="6"/>
        <v>45786</v>
      </c>
      <c r="Q41" s="1">
        <f t="shared" ca="1" si="7"/>
        <v>-376</v>
      </c>
    </row>
    <row r="42" spans="1:17" ht="14.25" customHeight="1" x14ac:dyDescent="0.3">
      <c r="A42" s="1">
        <v>33</v>
      </c>
      <c r="B42" s="1" t="s">
        <v>63</v>
      </c>
      <c r="C42" s="1" t="s">
        <v>64</v>
      </c>
      <c r="D42" s="1" t="s">
        <v>144</v>
      </c>
      <c r="E42" s="1" t="s">
        <v>138</v>
      </c>
      <c r="F42" s="1">
        <v>15</v>
      </c>
      <c r="G42" s="1" t="s">
        <v>97</v>
      </c>
      <c r="H42" s="1">
        <v>1</v>
      </c>
      <c r="I42" s="1">
        <f t="shared" si="0"/>
        <v>1</v>
      </c>
      <c r="J42" s="1">
        <f t="shared" si="1"/>
        <v>0</v>
      </c>
      <c r="K42" s="1">
        <f t="shared" si="2"/>
        <v>0</v>
      </c>
      <c r="L42" s="1">
        <f t="shared" si="3"/>
        <v>0</v>
      </c>
      <c r="M42" s="1" t="s">
        <v>43</v>
      </c>
      <c r="N42" s="1">
        <f t="shared" si="4"/>
        <v>1</v>
      </c>
      <c r="O42" s="1">
        <f t="shared" si="5"/>
        <v>1</v>
      </c>
      <c r="P42" s="27">
        <f t="shared" si="6"/>
        <v>45684</v>
      </c>
      <c r="Q42" s="1">
        <f t="shared" ca="1" si="7"/>
        <v>-478</v>
      </c>
    </row>
    <row r="43" spans="1:17" ht="14.25" customHeight="1" x14ac:dyDescent="0.3">
      <c r="A43" s="1">
        <v>34</v>
      </c>
      <c r="B43" s="1" t="s">
        <v>63</v>
      </c>
      <c r="C43" s="1" t="s">
        <v>64</v>
      </c>
      <c r="D43" s="1" t="s">
        <v>145</v>
      </c>
      <c r="E43" s="1" t="s">
        <v>146</v>
      </c>
      <c r="F43" s="1">
        <v>30</v>
      </c>
      <c r="G43" s="1" t="s">
        <v>94</v>
      </c>
      <c r="H43" s="1">
        <v>1</v>
      </c>
      <c r="I43" s="1">
        <f t="shared" si="0"/>
        <v>1</v>
      </c>
      <c r="J43" s="1">
        <f t="shared" si="1"/>
        <v>0</v>
      </c>
      <c r="K43" s="1">
        <f t="shared" si="2"/>
        <v>0</v>
      </c>
      <c r="L43" s="1">
        <f t="shared" si="3"/>
        <v>0</v>
      </c>
      <c r="M43" s="1" t="s">
        <v>43</v>
      </c>
      <c r="N43" s="1">
        <f t="shared" si="4"/>
        <v>1</v>
      </c>
      <c r="O43" s="1">
        <f t="shared" si="5"/>
        <v>1</v>
      </c>
      <c r="P43" s="27">
        <f t="shared" si="6"/>
        <v>45778</v>
      </c>
      <c r="Q43" s="1">
        <f t="shared" ca="1" si="7"/>
        <v>-384</v>
      </c>
    </row>
    <row r="44" spans="1:17" ht="14.25" customHeight="1" x14ac:dyDescent="0.3">
      <c r="A44" s="1">
        <v>35</v>
      </c>
      <c r="B44" s="1" t="s">
        <v>65</v>
      </c>
      <c r="C44" s="1" t="s">
        <v>66</v>
      </c>
      <c r="D44" s="1" t="s">
        <v>147</v>
      </c>
      <c r="E44" s="1" t="s">
        <v>148</v>
      </c>
      <c r="F44" s="1">
        <v>30</v>
      </c>
      <c r="G44" s="1" t="s">
        <v>94</v>
      </c>
      <c r="H44" s="1">
        <v>1</v>
      </c>
      <c r="I44" s="1">
        <f t="shared" si="0"/>
        <v>1</v>
      </c>
      <c r="J44" s="1">
        <f t="shared" si="1"/>
        <v>0</v>
      </c>
      <c r="K44" s="1">
        <f t="shared" si="2"/>
        <v>0</v>
      </c>
      <c r="L44" s="1">
        <f t="shared" si="3"/>
        <v>0</v>
      </c>
      <c r="M44" s="1" t="s">
        <v>43</v>
      </c>
      <c r="N44" s="1">
        <f t="shared" si="4"/>
        <v>1</v>
      </c>
      <c r="O44" s="1">
        <f t="shared" si="5"/>
        <v>1</v>
      </c>
      <c r="P44" s="27">
        <f t="shared" si="6"/>
        <v>45701</v>
      </c>
      <c r="Q44" s="1">
        <f t="shared" ca="1" si="7"/>
        <v>-461</v>
      </c>
    </row>
    <row r="45" spans="1:17" ht="14.25" customHeight="1" x14ac:dyDescent="0.3">
      <c r="A45" s="1">
        <v>36</v>
      </c>
      <c r="B45" s="1" t="s">
        <v>65</v>
      </c>
      <c r="C45" s="1" t="s">
        <v>66</v>
      </c>
      <c r="D45" s="1" t="s">
        <v>149</v>
      </c>
      <c r="E45" s="1" t="s">
        <v>150</v>
      </c>
      <c r="F45" s="1">
        <v>30</v>
      </c>
      <c r="G45" s="1" t="s">
        <v>94</v>
      </c>
      <c r="H45" s="1">
        <v>1</v>
      </c>
      <c r="I45" s="1">
        <f t="shared" si="0"/>
        <v>1</v>
      </c>
      <c r="J45" s="1">
        <f t="shared" si="1"/>
        <v>0</v>
      </c>
      <c r="K45" s="1">
        <f t="shared" si="2"/>
        <v>0</v>
      </c>
      <c r="L45" s="1">
        <f t="shared" si="3"/>
        <v>0</v>
      </c>
      <c r="M45" s="1" t="s">
        <v>43</v>
      </c>
      <c r="N45" s="1">
        <f t="shared" si="4"/>
        <v>1</v>
      </c>
      <c r="O45" s="1">
        <f t="shared" si="5"/>
        <v>1</v>
      </c>
      <c r="P45" s="27">
        <f t="shared" si="6"/>
        <v>45805</v>
      </c>
      <c r="Q45" s="1">
        <f t="shared" ca="1" si="7"/>
        <v>-357</v>
      </c>
    </row>
    <row r="46" spans="1:17" ht="14.25" customHeight="1" x14ac:dyDescent="0.3">
      <c r="A46" s="1">
        <v>37</v>
      </c>
      <c r="B46" s="1" t="s">
        <v>67</v>
      </c>
      <c r="C46" s="1" t="s">
        <v>68</v>
      </c>
      <c r="D46" s="1" t="s">
        <v>151</v>
      </c>
      <c r="E46" s="1" t="s">
        <v>152</v>
      </c>
      <c r="F46" s="1">
        <v>15</v>
      </c>
      <c r="G46" s="1" t="s">
        <v>97</v>
      </c>
      <c r="H46" s="1">
        <v>1</v>
      </c>
      <c r="I46" s="1">
        <f t="shared" si="0"/>
        <v>1</v>
      </c>
      <c r="J46" s="1">
        <f t="shared" si="1"/>
        <v>0</v>
      </c>
      <c r="K46" s="1">
        <f t="shared" si="2"/>
        <v>0</v>
      </c>
      <c r="L46" s="1">
        <f t="shared" si="3"/>
        <v>0</v>
      </c>
      <c r="M46" s="1" t="s">
        <v>43</v>
      </c>
      <c r="N46" s="1">
        <f t="shared" si="4"/>
        <v>1</v>
      </c>
      <c r="O46" s="1">
        <f t="shared" si="5"/>
        <v>1</v>
      </c>
      <c r="P46" s="27">
        <f t="shared" si="6"/>
        <v>45687</v>
      </c>
      <c r="Q46" s="1">
        <f t="shared" ca="1" si="7"/>
        <v>-475</v>
      </c>
    </row>
    <row r="47" spans="1:17" ht="14.25" customHeight="1" x14ac:dyDescent="0.3">
      <c r="A47" s="1">
        <v>38</v>
      </c>
      <c r="B47" s="1" t="s">
        <v>67</v>
      </c>
      <c r="C47" s="1" t="s">
        <v>68</v>
      </c>
      <c r="D47" s="1" t="s">
        <v>153</v>
      </c>
      <c r="E47" s="1" t="s">
        <v>146</v>
      </c>
      <c r="F47" s="1">
        <v>15</v>
      </c>
      <c r="G47" s="1" t="s">
        <v>97</v>
      </c>
      <c r="H47" s="1">
        <v>1</v>
      </c>
      <c r="I47" s="1">
        <f t="shared" si="0"/>
        <v>1</v>
      </c>
      <c r="J47" s="1">
        <f t="shared" si="1"/>
        <v>0</v>
      </c>
      <c r="K47" s="1">
        <f t="shared" si="2"/>
        <v>0</v>
      </c>
      <c r="L47" s="1">
        <f t="shared" si="3"/>
        <v>0</v>
      </c>
      <c r="M47" s="1" t="s">
        <v>43</v>
      </c>
      <c r="N47" s="1">
        <f t="shared" si="4"/>
        <v>1</v>
      </c>
      <c r="O47" s="1">
        <f t="shared" si="5"/>
        <v>1</v>
      </c>
      <c r="P47" s="27">
        <f t="shared" si="6"/>
        <v>45763</v>
      </c>
      <c r="Q47" s="1">
        <f t="shared" ca="1" si="7"/>
        <v>-399</v>
      </c>
    </row>
    <row r="48" spans="1:17" ht="14.25" customHeight="1" x14ac:dyDescent="0.3">
      <c r="A48" s="1">
        <v>39</v>
      </c>
      <c r="B48" s="1" t="s">
        <v>69</v>
      </c>
      <c r="C48" s="1" t="s">
        <v>70</v>
      </c>
      <c r="D48" s="1" t="s">
        <v>154</v>
      </c>
      <c r="E48" s="1" t="s">
        <v>155</v>
      </c>
      <c r="F48" s="1">
        <v>60</v>
      </c>
      <c r="G48" s="1" t="s">
        <v>109</v>
      </c>
      <c r="H48" s="1">
        <v>1</v>
      </c>
      <c r="I48" s="1">
        <f t="shared" si="0"/>
        <v>1</v>
      </c>
      <c r="J48" s="1">
        <f t="shared" si="1"/>
        <v>0</v>
      </c>
      <c r="K48" s="1">
        <f t="shared" si="2"/>
        <v>0</v>
      </c>
      <c r="L48" s="1">
        <f t="shared" si="3"/>
        <v>0</v>
      </c>
      <c r="M48" s="1" t="s">
        <v>43</v>
      </c>
      <c r="N48" s="1">
        <f t="shared" si="4"/>
        <v>1</v>
      </c>
      <c r="O48" s="1">
        <f t="shared" si="5"/>
        <v>1</v>
      </c>
      <c r="P48" s="27">
        <f t="shared" si="6"/>
        <v>45734</v>
      </c>
      <c r="Q48" s="1">
        <f t="shared" ca="1" si="7"/>
        <v>-428</v>
      </c>
    </row>
    <row r="49" spans="1:17" ht="14.25" customHeight="1" x14ac:dyDescent="0.3">
      <c r="A49" s="1">
        <v>40</v>
      </c>
      <c r="B49" s="1" t="s">
        <v>69</v>
      </c>
      <c r="C49" s="1" t="s">
        <v>70</v>
      </c>
      <c r="D49" s="1" t="s">
        <v>156</v>
      </c>
      <c r="E49" s="1" t="s">
        <v>157</v>
      </c>
      <c r="F49" s="1">
        <v>60</v>
      </c>
      <c r="G49" s="1" t="s">
        <v>109</v>
      </c>
      <c r="H49" s="1">
        <v>1</v>
      </c>
      <c r="I49" s="1">
        <f t="shared" si="0"/>
        <v>0</v>
      </c>
      <c r="J49" s="1">
        <f t="shared" si="1"/>
        <v>1</v>
      </c>
      <c r="K49" s="1">
        <f t="shared" si="2"/>
        <v>0</v>
      </c>
      <c r="L49" s="1">
        <f t="shared" si="3"/>
        <v>0</v>
      </c>
      <c r="M49" s="1" t="s">
        <v>44</v>
      </c>
      <c r="N49" s="1">
        <f t="shared" si="4"/>
        <v>0</v>
      </c>
      <c r="O49" s="1">
        <f t="shared" si="5"/>
        <v>1</v>
      </c>
      <c r="P49" s="27">
        <f t="shared" si="6"/>
        <v>45824</v>
      </c>
      <c r="Q49" s="1">
        <f t="shared" ca="1" si="7"/>
        <v>-338</v>
      </c>
    </row>
    <row r="50" spans="1:17" ht="14.25" customHeight="1" x14ac:dyDescent="0.3"/>
    <row r="51" spans="1:17" ht="14.25" customHeight="1" x14ac:dyDescent="0.3"/>
    <row r="52" spans="1:17" ht="14.25" customHeight="1" x14ac:dyDescent="0.3"/>
    <row r="53" spans="1:17" ht="14.25" customHeight="1" x14ac:dyDescent="0.3"/>
    <row r="54" spans="1:17" ht="14.25" customHeight="1" x14ac:dyDescent="0.3"/>
    <row r="55" spans="1:17" ht="14.25" customHeight="1" x14ac:dyDescent="0.3"/>
    <row r="56" spans="1:17" ht="14.25" customHeight="1" x14ac:dyDescent="0.3"/>
    <row r="57" spans="1:17" ht="14.25" customHeight="1" x14ac:dyDescent="0.3"/>
    <row r="58" spans="1:17" ht="14.25" customHeight="1" x14ac:dyDescent="0.3"/>
    <row r="59" spans="1:17" ht="14.25" customHeight="1" x14ac:dyDescent="0.3"/>
    <row r="60" spans="1:17" ht="14.25" customHeight="1" x14ac:dyDescent="0.3"/>
    <row r="61" spans="1:17" ht="14.25" customHeight="1" x14ac:dyDescent="0.3"/>
    <row r="62" spans="1:17" ht="14.25" customHeight="1" x14ac:dyDescent="0.3"/>
    <row r="63" spans="1:17" ht="14.25" customHeight="1" x14ac:dyDescent="0.3"/>
    <row r="64" spans="1:1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</sheetData>
  <mergeCells count="22">
    <mergeCell ref="O8:Q8"/>
    <mergeCell ref="A4:C4"/>
    <mergeCell ref="P5:Q6"/>
    <mergeCell ref="F8:J8"/>
    <mergeCell ref="M4:O4"/>
    <mergeCell ref="O7:Q7"/>
    <mergeCell ref="A8:E8"/>
    <mergeCell ref="A5:C6"/>
    <mergeCell ref="G5:I6"/>
    <mergeCell ref="K8:N8"/>
    <mergeCell ref="A1:Q1"/>
    <mergeCell ref="F7:J7"/>
    <mergeCell ref="A7:E7"/>
    <mergeCell ref="D4:F4"/>
    <mergeCell ref="M5:O6"/>
    <mergeCell ref="G4:I4"/>
    <mergeCell ref="A2:Q2"/>
    <mergeCell ref="P4:Q4"/>
    <mergeCell ref="D5:F6"/>
    <mergeCell ref="J5:L6"/>
    <mergeCell ref="K7:N7"/>
    <mergeCell ref="J4:L4"/>
  </mergeCells>
  <conditionalFormatting sqref="M10:M5000">
    <cfRule type="expression" dxfId="23" priority="2">
      <formula>M10="E"</formula>
    </cfRule>
    <cfRule type="expression" dxfId="22" priority="3">
      <formula>M10="R"</formula>
    </cfRule>
    <cfRule type="expression" dxfId="21" priority="4">
      <formula>M10="N"</formula>
    </cfRule>
    <cfRule type="expression" dxfId="20" priority="5">
      <formula>M10="P"</formula>
    </cfRule>
  </conditionalFormatting>
  <conditionalFormatting sqref="Q10:Q5000">
    <cfRule type="expression" dxfId="19" priority="6">
      <formula>AND(ISNUMBER(Q10),Q10&lt;=7,Q10&gt;=0)</formula>
    </cfRule>
    <cfRule type="expression" dxfId="18" priority="7">
      <formula>AND(ISNUMBER(Q10),Q10&lt;=15,Q10&gt;7)</formula>
    </cfRule>
  </conditionalFormatting>
  <dataValidations count="1">
    <dataValidation type="list" allowBlank="1" sqref="M10:M1029">
      <formula1>"E,R,N,P"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5" style="1" customWidth="1"/>
    <col min="2" max="2" width="10" style="1" customWidth="1"/>
    <col min="3" max="3" width="22" style="1" customWidth="1"/>
    <col min="4" max="4" width="40" style="1" customWidth="1"/>
    <col min="5" max="5" width="14" style="1" customWidth="1"/>
    <col min="6" max="6" width="16" style="1" customWidth="1"/>
    <col min="7" max="7" width="14" style="1" customWidth="1"/>
    <col min="8" max="8" width="18" style="1" customWidth="1"/>
    <col min="9" max="9" width="10" style="1" customWidth="1"/>
    <col min="10" max="10" width="12" style="1" customWidth="1"/>
    <col min="11" max="11" width="14" style="1" customWidth="1"/>
    <col min="12" max="12" width="16" style="1" customWidth="1"/>
    <col min="13" max="14" width="14" style="1" customWidth="1"/>
    <col min="15" max="15" width="38" style="1" customWidth="1"/>
  </cols>
  <sheetData>
    <row r="1" spans="1:15" ht="30" customHeight="1" x14ac:dyDescent="0.3">
      <c r="A1" s="168" t="s">
        <v>158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ht="19.5" customHeight="1" x14ac:dyDescent="0.3">
      <c r="A2" s="164" t="s">
        <v>159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</row>
    <row r="3" spans="1:15" ht="15" customHeight="1" x14ac:dyDescent="0.3">
      <c r="A3" s="165" t="s">
        <v>160</v>
      </c>
      <c r="B3" s="161"/>
      <c r="C3" s="165" t="s">
        <v>161</v>
      </c>
      <c r="D3" s="161"/>
      <c r="E3" s="165" t="s">
        <v>162</v>
      </c>
      <c r="F3" s="161"/>
      <c r="G3" s="165" t="s">
        <v>163</v>
      </c>
      <c r="H3" s="161"/>
      <c r="I3" s="165" t="s">
        <v>164</v>
      </c>
      <c r="J3" s="161"/>
      <c r="K3" s="165" t="s">
        <v>165</v>
      </c>
      <c r="L3" s="161"/>
      <c r="M3" s="165" t="s">
        <v>166</v>
      </c>
      <c r="N3" s="161"/>
      <c r="O3" s="28" t="s">
        <v>167</v>
      </c>
    </row>
    <row r="4" spans="1:15" ht="15" customHeight="1" x14ac:dyDescent="0.3">
      <c r="A4" s="163">
        <f>COUNTA(A7:A500)</f>
        <v>12</v>
      </c>
      <c r="B4" s="161"/>
      <c r="C4" s="163">
        <f>COUNTIF(N7:N500,"Pendiente")</f>
        <v>4</v>
      </c>
      <c r="D4" s="161"/>
      <c r="E4" s="163">
        <f>COUNTIF(N7:N500,"En Proceso")</f>
        <v>0</v>
      </c>
      <c r="F4" s="161"/>
      <c r="G4" s="163">
        <f>COUNTIF(N7:N500,"Completado")</f>
        <v>6</v>
      </c>
      <c r="H4" s="161"/>
      <c r="I4" s="167">
        <f>IFERROR(SUM(K7:K500),0)</f>
        <v>15000</v>
      </c>
      <c r="J4" s="161"/>
      <c r="K4" s="167">
        <f>IFERROR(SUM(L7:L500),0)</f>
        <v>25700</v>
      </c>
      <c r="L4" s="161"/>
      <c r="M4" s="167">
        <f>IFERROR(SUM(K7:K500)+SUM(L7:L500),0)</f>
        <v>40700</v>
      </c>
      <c r="N4" s="161"/>
      <c r="O4" s="29">
        <f>IFERROR((SUM(K7:K500)+SUM(L7:L500))/42550,0)</f>
        <v>0.95652173913043481</v>
      </c>
    </row>
    <row r="5" spans="1:15" ht="18" customHeight="1" x14ac:dyDescent="0.3">
      <c r="A5" s="160" t="s">
        <v>168</v>
      </c>
      <c r="B5" s="161"/>
      <c r="C5" s="161"/>
      <c r="D5" s="161"/>
      <c r="E5" s="160" t="s">
        <v>169</v>
      </c>
      <c r="F5" s="161"/>
      <c r="G5" s="161"/>
      <c r="H5" s="160" t="s">
        <v>170</v>
      </c>
      <c r="I5" s="161"/>
      <c r="J5" s="161"/>
      <c r="K5" s="160" t="s">
        <v>171</v>
      </c>
      <c r="L5" s="161"/>
      <c r="M5" s="161"/>
      <c r="N5" s="30" t="s">
        <v>87</v>
      </c>
      <c r="O5" s="30" t="s">
        <v>172</v>
      </c>
    </row>
    <row r="6" spans="1:15" ht="36" customHeight="1" x14ac:dyDescent="0.3">
      <c r="A6" s="31" t="s">
        <v>81</v>
      </c>
      <c r="B6" s="31" t="s">
        <v>173</v>
      </c>
      <c r="C6" s="31" t="s">
        <v>174</v>
      </c>
      <c r="D6" s="31" t="s">
        <v>175</v>
      </c>
      <c r="E6" s="31" t="s">
        <v>176</v>
      </c>
      <c r="F6" s="31" t="s">
        <v>177</v>
      </c>
      <c r="G6" s="31" t="s">
        <v>178</v>
      </c>
      <c r="H6" s="31" t="s">
        <v>179</v>
      </c>
      <c r="I6" s="31" t="s">
        <v>180</v>
      </c>
      <c r="J6" s="31" t="s">
        <v>181</v>
      </c>
      <c r="K6" s="31" t="s">
        <v>182</v>
      </c>
      <c r="L6" s="31" t="s">
        <v>183</v>
      </c>
      <c r="M6" s="31" t="s">
        <v>184</v>
      </c>
      <c r="N6" s="31" t="s">
        <v>87</v>
      </c>
      <c r="O6" s="31" t="s">
        <v>172</v>
      </c>
    </row>
    <row r="7" spans="1:15" ht="48" customHeight="1" x14ac:dyDescent="0.3">
      <c r="A7" s="32">
        <v>1</v>
      </c>
      <c r="B7" s="32" t="s">
        <v>55</v>
      </c>
      <c r="C7" s="33" t="s">
        <v>56</v>
      </c>
      <c r="D7" s="33" t="s">
        <v>185</v>
      </c>
      <c r="E7" s="34" t="s">
        <v>130</v>
      </c>
      <c r="F7" s="34" t="s">
        <v>130</v>
      </c>
      <c r="G7" s="34" t="s">
        <v>130</v>
      </c>
      <c r="H7" s="35" t="s">
        <v>186</v>
      </c>
      <c r="I7" s="36" t="s">
        <v>187</v>
      </c>
      <c r="J7" s="37">
        <v>240</v>
      </c>
      <c r="K7" s="38">
        <v>1200</v>
      </c>
      <c r="L7" s="38">
        <v>2100</v>
      </c>
      <c r="M7" s="39">
        <f t="shared" ref="M7:M12" si="0">K7+L7</f>
        <v>3300</v>
      </c>
      <c r="N7" s="32" t="s">
        <v>188</v>
      </c>
      <c r="O7" s="33" t="s">
        <v>189</v>
      </c>
    </row>
    <row r="8" spans="1:15" ht="48" customHeight="1" x14ac:dyDescent="0.3">
      <c r="A8" s="32">
        <v>2</v>
      </c>
      <c r="B8" s="32" t="s">
        <v>53</v>
      </c>
      <c r="C8" s="33" t="s">
        <v>54</v>
      </c>
      <c r="D8" s="33" t="s">
        <v>190</v>
      </c>
      <c r="E8" s="34" t="s">
        <v>191</v>
      </c>
      <c r="F8" s="34" t="s">
        <v>191</v>
      </c>
      <c r="G8" s="34" t="s">
        <v>191</v>
      </c>
      <c r="H8" s="35" t="s">
        <v>192</v>
      </c>
      <c r="I8" s="36" t="s">
        <v>187</v>
      </c>
      <c r="J8" s="37">
        <v>300</v>
      </c>
      <c r="K8" s="38">
        <v>1500</v>
      </c>
      <c r="L8" s="38">
        <v>3200</v>
      </c>
      <c r="M8" s="39">
        <f t="shared" si="0"/>
        <v>4700</v>
      </c>
      <c r="N8" s="32" t="s">
        <v>188</v>
      </c>
      <c r="O8" s="33" t="s">
        <v>193</v>
      </c>
    </row>
    <row r="9" spans="1:15" ht="48" customHeight="1" x14ac:dyDescent="0.3">
      <c r="A9" s="32">
        <v>3</v>
      </c>
      <c r="B9" s="32" t="s">
        <v>63</v>
      </c>
      <c r="C9" s="33" t="s">
        <v>64</v>
      </c>
      <c r="D9" s="33" t="s">
        <v>194</v>
      </c>
      <c r="E9" s="34" t="s">
        <v>195</v>
      </c>
      <c r="F9" s="34" t="s">
        <v>195</v>
      </c>
      <c r="G9" s="34" t="s">
        <v>196</v>
      </c>
      <c r="H9" s="35" t="s">
        <v>197</v>
      </c>
      <c r="I9" s="36" t="s">
        <v>187</v>
      </c>
      <c r="J9" s="37">
        <v>360</v>
      </c>
      <c r="K9" s="38">
        <v>1800</v>
      </c>
      <c r="L9" s="38">
        <v>3800</v>
      </c>
      <c r="M9" s="39">
        <f t="shared" si="0"/>
        <v>5600</v>
      </c>
      <c r="N9" s="32" t="s">
        <v>188</v>
      </c>
      <c r="O9" s="33" t="s">
        <v>198</v>
      </c>
    </row>
    <row r="10" spans="1:15" ht="48" customHeight="1" x14ac:dyDescent="0.3">
      <c r="A10" s="32">
        <v>4</v>
      </c>
      <c r="B10" s="32" t="s">
        <v>57</v>
      </c>
      <c r="C10" s="33" t="s">
        <v>58</v>
      </c>
      <c r="D10" s="33" t="s">
        <v>199</v>
      </c>
      <c r="E10" s="34" t="s">
        <v>200</v>
      </c>
      <c r="F10" s="34" t="s">
        <v>200</v>
      </c>
      <c r="G10" s="34" t="s">
        <v>200</v>
      </c>
      <c r="H10" s="35" t="s">
        <v>186</v>
      </c>
      <c r="I10" s="36" t="s">
        <v>187</v>
      </c>
      <c r="J10" s="37">
        <v>240</v>
      </c>
      <c r="K10" s="38">
        <v>1200</v>
      </c>
      <c r="L10" s="38">
        <v>1800</v>
      </c>
      <c r="M10" s="39">
        <f t="shared" si="0"/>
        <v>3000</v>
      </c>
      <c r="N10" s="32" t="s">
        <v>188</v>
      </c>
      <c r="O10" s="33" t="s">
        <v>201</v>
      </c>
    </row>
    <row r="11" spans="1:15" ht="48" customHeight="1" x14ac:dyDescent="0.3">
      <c r="A11" s="32">
        <v>5</v>
      </c>
      <c r="B11" s="32" t="s">
        <v>69</v>
      </c>
      <c r="C11" s="33" t="s">
        <v>70</v>
      </c>
      <c r="D11" s="33" t="s">
        <v>202</v>
      </c>
      <c r="E11" s="34" t="s">
        <v>203</v>
      </c>
      <c r="F11" s="34" t="s">
        <v>203</v>
      </c>
      <c r="G11" s="34" t="s">
        <v>203</v>
      </c>
      <c r="H11" s="35" t="s">
        <v>204</v>
      </c>
      <c r="I11" s="40" t="s">
        <v>205</v>
      </c>
      <c r="J11" s="37">
        <v>180</v>
      </c>
      <c r="K11" s="38">
        <v>900</v>
      </c>
      <c r="L11" s="38">
        <v>1300</v>
      </c>
      <c r="M11" s="39">
        <f t="shared" si="0"/>
        <v>2200</v>
      </c>
      <c r="N11" s="32" t="s">
        <v>188</v>
      </c>
      <c r="O11" s="33" t="s">
        <v>206</v>
      </c>
    </row>
    <row r="12" spans="1:15" ht="48" customHeight="1" x14ac:dyDescent="0.3">
      <c r="A12" s="32">
        <v>6</v>
      </c>
      <c r="B12" s="32" t="s">
        <v>65</v>
      </c>
      <c r="C12" s="33" t="s">
        <v>66</v>
      </c>
      <c r="D12" s="33" t="s">
        <v>207</v>
      </c>
      <c r="E12" s="34" t="s">
        <v>208</v>
      </c>
      <c r="F12" s="34" t="s">
        <v>208</v>
      </c>
      <c r="G12" s="34" t="s">
        <v>208</v>
      </c>
      <c r="H12" s="35" t="s">
        <v>197</v>
      </c>
      <c r="I12" s="40" t="s">
        <v>205</v>
      </c>
      <c r="J12" s="37">
        <v>180</v>
      </c>
      <c r="K12" s="38">
        <v>900</v>
      </c>
      <c r="L12" s="38">
        <v>650</v>
      </c>
      <c r="M12" s="39">
        <f t="shared" si="0"/>
        <v>1550</v>
      </c>
      <c r="N12" s="32" t="s">
        <v>188</v>
      </c>
      <c r="O12" s="33" t="s">
        <v>209</v>
      </c>
    </row>
    <row r="13" spans="1:15" ht="48" customHeight="1" x14ac:dyDescent="0.3">
      <c r="A13" s="36">
        <v>7</v>
      </c>
      <c r="B13" s="36" t="s">
        <v>63</v>
      </c>
      <c r="C13" s="41" t="s">
        <v>64</v>
      </c>
      <c r="D13" s="41" t="s">
        <v>210</v>
      </c>
      <c r="E13" s="42" t="s">
        <v>211</v>
      </c>
      <c r="F13" s="43" t="s">
        <v>212</v>
      </c>
      <c r="G13" s="42" t="s">
        <v>213</v>
      </c>
      <c r="H13" s="44" t="s">
        <v>197</v>
      </c>
      <c r="I13" s="36" t="s">
        <v>187</v>
      </c>
      <c r="J13" s="45" t="s">
        <v>213</v>
      </c>
      <c r="K13" s="46" t="s">
        <v>213</v>
      </c>
      <c r="L13" s="46" t="s">
        <v>213</v>
      </c>
      <c r="M13" s="42" t="s">
        <v>213</v>
      </c>
      <c r="N13" s="36" t="s">
        <v>214</v>
      </c>
      <c r="O13" s="41" t="s">
        <v>215</v>
      </c>
    </row>
    <row r="14" spans="1:15" ht="48" customHeight="1" x14ac:dyDescent="0.3">
      <c r="A14" s="36">
        <v>8</v>
      </c>
      <c r="B14" s="36" t="s">
        <v>57</v>
      </c>
      <c r="C14" s="41" t="s">
        <v>58</v>
      </c>
      <c r="D14" s="41" t="s">
        <v>216</v>
      </c>
      <c r="E14" s="42" t="s">
        <v>211</v>
      </c>
      <c r="F14" s="43" t="s">
        <v>212</v>
      </c>
      <c r="G14" s="42" t="s">
        <v>213</v>
      </c>
      <c r="H14" s="44" t="s">
        <v>186</v>
      </c>
      <c r="I14" s="36" t="s">
        <v>187</v>
      </c>
      <c r="J14" s="45" t="s">
        <v>213</v>
      </c>
      <c r="K14" s="46" t="s">
        <v>213</v>
      </c>
      <c r="L14" s="46" t="s">
        <v>213</v>
      </c>
      <c r="M14" s="42" t="s">
        <v>213</v>
      </c>
      <c r="N14" s="36" t="s">
        <v>214</v>
      </c>
      <c r="O14" s="41" t="s">
        <v>217</v>
      </c>
    </row>
    <row r="15" spans="1:15" ht="48" customHeight="1" x14ac:dyDescent="0.3">
      <c r="A15" s="36">
        <v>9</v>
      </c>
      <c r="B15" s="36" t="s">
        <v>67</v>
      </c>
      <c r="C15" s="41" t="s">
        <v>68</v>
      </c>
      <c r="D15" s="41" t="s">
        <v>218</v>
      </c>
      <c r="E15" s="42" t="s">
        <v>211</v>
      </c>
      <c r="F15" s="43" t="s">
        <v>212</v>
      </c>
      <c r="G15" s="42" t="s">
        <v>213</v>
      </c>
      <c r="H15" s="44" t="s">
        <v>219</v>
      </c>
      <c r="I15" s="40" t="s">
        <v>205</v>
      </c>
      <c r="J15" s="45" t="s">
        <v>213</v>
      </c>
      <c r="K15" s="46" t="s">
        <v>213</v>
      </c>
      <c r="L15" s="46" t="s">
        <v>213</v>
      </c>
      <c r="M15" s="42" t="s">
        <v>213</v>
      </c>
      <c r="N15" s="36" t="s">
        <v>214</v>
      </c>
      <c r="O15" s="41" t="s">
        <v>220</v>
      </c>
    </row>
    <row r="16" spans="1:15" ht="48" customHeight="1" x14ac:dyDescent="0.3">
      <c r="A16" s="36">
        <v>10</v>
      </c>
      <c r="B16" s="36" t="s">
        <v>59</v>
      </c>
      <c r="C16" s="41" t="s">
        <v>60</v>
      </c>
      <c r="D16" s="41" t="s">
        <v>221</v>
      </c>
      <c r="E16" s="42" t="s">
        <v>211</v>
      </c>
      <c r="F16" s="43" t="s">
        <v>212</v>
      </c>
      <c r="G16" s="42" t="s">
        <v>213</v>
      </c>
      <c r="H16" s="44" t="s">
        <v>192</v>
      </c>
      <c r="I16" s="40" t="s">
        <v>205</v>
      </c>
      <c r="J16" s="45" t="s">
        <v>213</v>
      </c>
      <c r="K16" s="46" t="s">
        <v>213</v>
      </c>
      <c r="L16" s="46" t="s">
        <v>213</v>
      </c>
      <c r="M16" s="42" t="s">
        <v>213</v>
      </c>
      <c r="N16" s="36" t="s">
        <v>214</v>
      </c>
      <c r="O16" s="41" t="s">
        <v>222</v>
      </c>
    </row>
    <row r="17" spans="1:15" ht="15" customHeight="1" x14ac:dyDescent="0.3">
      <c r="A17" s="162" t="s">
        <v>223</v>
      </c>
      <c r="B17" s="161"/>
      <c r="C17" s="161"/>
      <c r="D17" s="161"/>
      <c r="E17" s="161"/>
      <c r="F17" s="161"/>
      <c r="G17" s="161"/>
      <c r="H17" s="161"/>
      <c r="I17" s="161"/>
      <c r="J17" s="161"/>
      <c r="K17" s="47">
        <f>IFERROR(SUMIF(N7:N16,"Completado",K7:K16),0)</f>
        <v>7500</v>
      </c>
      <c r="L17" s="47">
        <f>IFERROR(SUMIF(N7:N16,"Completado",L7:L16),0)</f>
        <v>12850</v>
      </c>
      <c r="M17" s="47">
        <f>IFERROR(K17+L17,0)</f>
        <v>20350</v>
      </c>
      <c r="N17" s="48"/>
      <c r="O17" s="48"/>
    </row>
    <row r="19" spans="1:15" ht="15" customHeight="1" x14ac:dyDescent="0.3">
      <c r="A19" s="49" t="s">
        <v>224</v>
      </c>
      <c r="B19" s="35" t="s">
        <v>225</v>
      </c>
      <c r="C19" s="50" t="s">
        <v>226</v>
      </c>
      <c r="D19" s="44" t="s">
        <v>227</v>
      </c>
      <c r="E19" s="166" t="s">
        <v>228</v>
      </c>
      <c r="F19" s="161"/>
      <c r="G19" s="161"/>
      <c r="H19" s="161"/>
    </row>
  </sheetData>
  <mergeCells count="22">
    <mergeCell ref="A1:O1"/>
    <mergeCell ref="K4:L4"/>
    <mergeCell ref="C3:D3"/>
    <mergeCell ref="M4:N4"/>
    <mergeCell ref="E3:F3"/>
    <mergeCell ref="K3:L3"/>
    <mergeCell ref="E19:H19"/>
    <mergeCell ref="A4:B4"/>
    <mergeCell ref="G4:H4"/>
    <mergeCell ref="I4:J4"/>
    <mergeCell ref="E5:G5"/>
    <mergeCell ref="A5:D5"/>
    <mergeCell ref="A17:J17"/>
    <mergeCell ref="C4:D4"/>
    <mergeCell ref="E4:F4"/>
    <mergeCell ref="A2:O2"/>
    <mergeCell ref="A3:B3"/>
    <mergeCell ref="G3:H3"/>
    <mergeCell ref="I3:J3"/>
    <mergeCell ref="H5:J5"/>
    <mergeCell ref="M3:N3"/>
    <mergeCell ref="K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M14"/>
  <sheetViews>
    <sheetView showGridLines="0" zoomScaleNormal="100" workbookViewId="0">
      <pane ySplit="4" topLeftCell="A5" activePane="bottomLeft" state="frozen"/>
      <selection pane="bottomLeft" activeCell="M5" sqref="M5"/>
    </sheetView>
  </sheetViews>
  <sheetFormatPr baseColWidth="10" defaultColWidth="8.6640625" defaultRowHeight="14.4" x14ac:dyDescent="0.3"/>
  <cols>
    <col min="1" max="1" width="5" style="1" customWidth="1"/>
    <col min="2" max="2" width="12" style="1" customWidth="1"/>
    <col min="3" max="3" width="30" style="1" customWidth="1"/>
    <col min="4" max="6" width="16" style="1" customWidth="1"/>
    <col min="7" max="7" width="14" style="1" customWidth="1"/>
    <col min="8" max="8" width="12" style="1" customWidth="1"/>
    <col min="9" max="9" width="9" style="1" customWidth="1"/>
    <col min="10" max="10" width="12" style="1" customWidth="1"/>
    <col min="11" max="11" width="16" style="1" customWidth="1"/>
    <col min="12" max="12" width="12" style="1" customWidth="1"/>
    <col min="13" max="13" width="28" style="1" customWidth="1"/>
  </cols>
  <sheetData>
    <row r="1" spans="1:13" ht="27.75" customHeight="1" x14ac:dyDescent="0.3">
      <c r="A1" s="154" t="s">
        <v>229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3" ht="18" customHeight="1" x14ac:dyDescent="0.3">
      <c r="A2" s="150" t="s">
        <v>230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1:13" ht="30" customHeight="1" x14ac:dyDescent="0.3">
      <c r="A3" s="138" t="s">
        <v>231</v>
      </c>
      <c r="B3" s="121"/>
      <c r="C3" s="121"/>
      <c r="D3" s="121"/>
      <c r="E3" s="121"/>
      <c r="F3" s="121"/>
      <c r="G3" s="121"/>
      <c r="H3" s="149" t="s">
        <v>232</v>
      </c>
      <c r="I3" s="121"/>
      <c r="J3" s="121"/>
      <c r="K3" s="51" t="s">
        <v>87</v>
      </c>
      <c r="L3" s="52" t="s">
        <v>233</v>
      </c>
      <c r="M3" s="53" t="s">
        <v>234</v>
      </c>
    </row>
    <row r="4" spans="1:13" ht="31.5" customHeight="1" x14ac:dyDescent="0.3">
      <c r="A4" s="16" t="s">
        <v>81</v>
      </c>
      <c r="B4" s="16" t="s">
        <v>40</v>
      </c>
      <c r="C4" s="16" t="s">
        <v>174</v>
      </c>
      <c r="D4" s="16" t="s">
        <v>235</v>
      </c>
      <c r="E4" s="16" t="s">
        <v>236</v>
      </c>
      <c r="F4" s="16" t="s">
        <v>237</v>
      </c>
      <c r="G4" s="16" t="s">
        <v>238</v>
      </c>
      <c r="H4" s="16" t="s">
        <v>239</v>
      </c>
      <c r="I4" s="16" t="s">
        <v>240</v>
      </c>
      <c r="J4" s="16" t="s">
        <v>241</v>
      </c>
      <c r="K4" s="16" t="s">
        <v>87</v>
      </c>
      <c r="L4" s="16" t="s">
        <v>242</v>
      </c>
      <c r="M4" s="16" t="s">
        <v>172</v>
      </c>
    </row>
    <row r="5" spans="1:13" ht="19.5" customHeight="1" x14ac:dyDescent="0.3">
      <c r="A5" s="54">
        <v>1</v>
      </c>
      <c r="B5" s="7" t="s">
        <v>51</v>
      </c>
      <c r="C5" s="8" t="s">
        <v>52</v>
      </c>
      <c r="D5" s="7" t="s">
        <v>243</v>
      </c>
      <c r="E5" s="7" t="s">
        <v>244</v>
      </c>
      <c r="F5" s="7" t="s">
        <v>245</v>
      </c>
      <c r="G5" s="7" t="s">
        <v>246</v>
      </c>
      <c r="H5" s="55">
        <f t="shared" ref="H5:H14" ca="1" si="0">IFERROR(DATEDIF(DATE(MID(G5,7,4),MID(G5,4,2),LEFT(G5,2)),TODAY(),"Y"),"")</f>
        <v>7</v>
      </c>
      <c r="I5" s="7">
        <v>8</v>
      </c>
      <c r="J5" s="7" t="s">
        <v>187</v>
      </c>
      <c r="K5" s="7" t="s">
        <v>247</v>
      </c>
      <c r="L5" s="56" t="str">
        <f>IFERROR(AVERAGEIF(MANTENIMIENTOS!B:B,B5,MANTENIMIENTOS!I:I),"-")</f>
        <v>-</v>
      </c>
      <c r="M5" s="17" t="s">
        <v>248</v>
      </c>
    </row>
    <row r="6" spans="1:13" ht="19.5" customHeight="1" x14ac:dyDescent="0.3">
      <c r="A6" s="57">
        <v>2</v>
      </c>
      <c r="B6" s="11" t="s">
        <v>53</v>
      </c>
      <c r="C6" s="12" t="s">
        <v>54</v>
      </c>
      <c r="D6" s="11" t="s">
        <v>243</v>
      </c>
      <c r="E6" s="11" t="s">
        <v>249</v>
      </c>
      <c r="F6" s="11" t="s">
        <v>245</v>
      </c>
      <c r="G6" s="11" t="s">
        <v>250</v>
      </c>
      <c r="H6" s="58">
        <f t="shared" ca="1" si="0"/>
        <v>7</v>
      </c>
      <c r="I6" s="11">
        <v>8</v>
      </c>
      <c r="J6" s="11" t="s">
        <v>187</v>
      </c>
      <c r="K6" s="11" t="s">
        <v>247</v>
      </c>
      <c r="L6" s="59" t="str">
        <f>IFERROR(AVERAGEIF(MANTENIMIENTOS!B:B,B6,MANTENIMIENTOS!I:I),"-")</f>
        <v>-</v>
      </c>
      <c r="M6" s="22" t="s">
        <v>251</v>
      </c>
    </row>
    <row r="7" spans="1:13" ht="19.5" customHeight="1" x14ac:dyDescent="0.3">
      <c r="A7" s="54">
        <v>3</v>
      </c>
      <c r="B7" s="7" t="s">
        <v>55</v>
      </c>
      <c r="C7" s="8" t="s">
        <v>56</v>
      </c>
      <c r="D7" s="7" t="s">
        <v>252</v>
      </c>
      <c r="E7" s="7" t="s">
        <v>253</v>
      </c>
      <c r="F7" s="7" t="s">
        <v>254</v>
      </c>
      <c r="G7" s="7" t="s">
        <v>255</v>
      </c>
      <c r="H7" s="55">
        <f t="shared" ca="1" si="0"/>
        <v>6</v>
      </c>
      <c r="I7" s="7">
        <v>6</v>
      </c>
      <c r="J7" s="7" t="s">
        <v>205</v>
      </c>
      <c r="K7" s="7" t="s">
        <v>247</v>
      </c>
      <c r="L7" s="56" t="str">
        <f>IFERROR(AVERAGEIF(MANTENIMIENTOS!B:B,B7,MANTENIMIENTOS!I:I),"-")</f>
        <v>-</v>
      </c>
      <c r="M7" s="17" t="s">
        <v>256</v>
      </c>
    </row>
    <row r="8" spans="1:13" ht="19.5" customHeight="1" x14ac:dyDescent="0.3">
      <c r="A8" s="57">
        <v>4</v>
      </c>
      <c r="B8" s="11" t="s">
        <v>57</v>
      </c>
      <c r="C8" s="12" t="s">
        <v>58</v>
      </c>
      <c r="D8" s="11" t="s">
        <v>257</v>
      </c>
      <c r="E8" s="11" t="s">
        <v>258</v>
      </c>
      <c r="F8" s="11" t="s">
        <v>254</v>
      </c>
      <c r="G8" s="11" t="s">
        <v>259</v>
      </c>
      <c r="H8" s="58">
        <f t="shared" ca="1" si="0"/>
        <v>8</v>
      </c>
      <c r="I8" s="11">
        <v>8</v>
      </c>
      <c r="J8" s="11" t="s">
        <v>187</v>
      </c>
      <c r="K8" s="11" t="s">
        <v>247</v>
      </c>
      <c r="L8" s="59" t="str">
        <f>IFERROR(AVERAGEIF(MANTENIMIENTOS!B:B,B8,MANTENIMIENTOS!I:I),"-")</f>
        <v>-</v>
      </c>
      <c r="M8" s="22" t="s">
        <v>260</v>
      </c>
    </row>
    <row r="9" spans="1:13" ht="19.5" customHeight="1" x14ac:dyDescent="0.3">
      <c r="A9" s="54">
        <v>5</v>
      </c>
      <c r="B9" s="7" t="s">
        <v>59</v>
      </c>
      <c r="C9" s="8" t="s">
        <v>60</v>
      </c>
      <c r="D9" s="7" t="s">
        <v>261</v>
      </c>
      <c r="E9" s="7" t="s">
        <v>262</v>
      </c>
      <c r="F9" s="7" t="s">
        <v>263</v>
      </c>
      <c r="G9" s="7" t="s">
        <v>264</v>
      </c>
      <c r="H9" s="55">
        <f t="shared" ca="1" si="0"/>
        <v>9</v>
      </c>
      <c r="I9" s="7">
        <v>8</v>
      </c>
      <c r="J9" s="7" t="s">
        <v>187</v>
      </c>
      <c r="K9" s="7" t="s">
        <v>247</v>
      </c>
      <c r="L9" s="56" t="str">
        <f>IFERROR(AVERAGEIF(MANTENIMIENTOS!B:B,B9,MANTENIMIENTOS!I:I),"-")</f>
        <v>-</v>
      </c>
      <c r="M9" s="17" t="s">
        <v>265</v>
      </c>
    </row>
    <row r="10" spans="1:13" ht="19.5" customHeight="1" x14ac:dyDescent="0.3">
      <c r="A10" s="57">
        <v>6</v>
      </c>
      <c r="B10" s="11" t="s">
        <v>61</v>
      </c>
      <c r="C10" s="12" t="s">
        <v>62</v>
      </c>
      <c r="D10" s="11" t="s">
        <v>266</v>
      </c>
      <c r="E10" s="11" t="s">
        <v>267</v>
      </c>
      <c r="F10" s="11" t="s">
        <v>268</v>
      </c>
      <c r="G10" s="11" t="s">
        <v>269</v>
      </c>
      <c r="H10" s="58">
        <f t="shared" ca="1" si="0"/>
        <v>5</v>
      </c>
      <c r="I10" s="11">
        <v>6</v>
      </c>
      <c r="J10" s="11" t="s">
        <v>187</v>
      </c>
      <c r="K10" s="11" t="s">
        <v>247</v>
      </c>
      <c r="L10" s="59" t="str">
        <f>IFERROR(AVERAGEIF(MANTENIMIENTOS!B:B,B10,MANTENIMIENTOS!I:I),"-")</f>
        <v>-</v>
      </c>
      <c r="M10" s="22" t="s">
        <v>270</v>
      </c>
    </row>
    <row r="11" spans="1:13" ht="19.5" customHeight="1" x14ac:dyDescent="0.3">
      <c r="A11" s="54">
        <v>7</v>
      </c>
      <c r="B11" s="7" t="s">
        <v>63</v>
      </c>
      <c r="C11" s="8" t="s">
        <v>64</v>
      </c>
      <c r="D11" s="7" t="s">
        <v>271</v>
      </c>
      <c r="E11" s="7" t="s">
        <v>272</v>
      </c>
      <c r="F11" s="7" t="s">
        <v>273</v>
      </c>
      <c r="G11" s="7" t="s">
        <v>274</v>
      </c>
      <c r="H11" s="55">
        <f t="shared" ca="1" si="0"/>
        <v>10</v>
      </c>
      <c r="I11" s="7">
        <v>8</v>
      </c>
      <c r="J11" s="7" t="s">
        <v>187</v>
      </c>
      <c r="K11" s="7" t="s">
        <v>247</v>
      </c>
      <c r="L11" s="56" t="str">
        <f>IFERROR(AVERAGEIF(MANTENIMIENTOS!B:B,B11,MANTENIMIENTOS!I:I),"-")</f>
        <v>-</v>
      </c>
      <c r="M11" s="17" t="s">
        <v>275</v>
      </c>
    </row>
    <row r="12" spans="1:13" ht="19.5" customHeight="1" x14ac:dyDescent="0.3">
      <c r="A12" s="57">
        <v>8</v>
      </c>
      <c r="B12" s="11" t="s">
        <v>65</v>
      </c>
      <c r="C12" s="12" t="s">
        <v>66</v>
      </c>
      <c r="D12" s="11" t="s">
        <v>276</v>
      </c>
      <c r="E12" s="11" t="s">
        <v>277</v>
      </c>
      <c r="F12" s="11" t="s">
        <v>278</v>
      </c>
      <c r="G12" s="11" t="s">
        <v>279</v>
      </c>
      <c r="H12" s="58">
        <f t="shared" ca="1" si="0"/>
        <v>4</v>
      </c>
      <c r="I12" s="11">
        <v>8</v>
      </c>
      <c r="J12" s="11" t="s">
        <v>205</v>
      </c>
      <c r="K12" s="11" t="s">
        <v>247</v>
      </c>
      <c r="L12" s="59" t="str">
        <f>IFERROR(AVERAGEIF(MANTENIMIENTOS!B:B,B12,MANTENIMIENTOS!I:I),"-")</f>
        <v>-</v>
      </c>
      <c r="M12" s="22" t="s">
        <v>280</v>
      </c>
    </row>
    <row r="13" spans="1:13" ht="19.5" customHeight="1" x14ac:dyDescent="0.3">
      <c r="A13" s="54">
        <v>9</v>
      </c>
      <c r="B13" s="7" t="s">
        <v>67</v>
      </c>
      <c r="C13" s="8" t="s">
        <v>68</v>
      </c>
      <c r="D13" s="7" t="s">
        <v>281</v>
      </c>
      <c r="E13" s="7" t="s">
        <v>282</v>
      </c>
      <c r="F13" s="7" t="s">
        <v>283</v>
      </c>
      <c r="G13" s="7" t="s">
        <v>284</v>
      </c>
      <c r="H13" s="55">
        <f t="shared" ca="1" si="0"/>
        <v>6</v>
      </c>
      <c r="I13" s="7">
        <v>24</v>
      </c>
      <c r="J13" s="7" t="s">
        <v>187</v>
      </c>
      <c r="K13" s="7" t="s">
        <v>247</v>
      </c>
      <c r="L13" s="56" t="str">
        <f>IFERROR(AVERAGEIF(MANTENIMIENTOS!B:B,B13,MANTENIMIENTOS!I:I),"-")</f>
        <v>-</v>
      </c>
      <c r="M13" s="17" t="s">
        <v>285</v>
      </c>
    </row>
    <row r="14" spans="1:13" ht="19.5" customHeight="1" x14ac:dyDescent="0.3">
      <c r="A14" s="57">
        <v>10</v>
      </c>
      <c r="B14" s="11" t="s">
        <v>69</v>
      </c>
      <c r="C14" s="12" t="s">
        <v>70</v>
      </c>
      <c r="D14" s="11" t="s">
        <v>286</v>
      </c>
      <c r="E14" s="11" t="s">
        <v>287</v>
      </c>
      <c r="F14" s="11" t="s">
        <v>288</v>
      </c>
      <c r="G14" s="11" t="s">
        <v>289</v>
      </c>
      <c r="H14" s="58">
        <f t="shared" ca="1" si="0"/>
        <v>5</v>
      </c>
      <c r="I14" s="11">
        <v>16</v>
      </c>
      <c r="J14" s="11" t="s">
        <v>205</v>
      </c>
      <c r="K14" s="11" t="s">
        <v>247</v>
      </c>
      <c r="L14" s="59" t="str">
        <f>IFERROR(AVERAGEIF(MANTENIMIENTOS!B:B,B14,MANTENIMIENTOS!I:I),"-")</f>
        <v>-</v>
      </c>
      <c r="M14" s="22" t="s">
        <v>290</v>
      </c>
    </row>
  </sheetData>
  <mergeCells count="4">
    <mergeCell ref="H3:J3"/>
    <mergeCell ref="A3:G3"/>
    <mergeCell ref="A2:M2"/>
    <mergeCell ref="A1:M1"/>
  </mergeCells>
  <conditionalFormatting sqref="K5:K200">
    <cfRule type="expression" dxfId="17" priority="2">
      <formula>K5="Operativo"</formula>
    </cfRule>
    <cfRule type="expression" dxfId="16" priority="3">
      <formula>K5="En Mantenimiento"</formula>
    </cfRule>
    <cfRule type="expression" dxfId="15" priority="4">
      <formula>K5="Fuera de Servicio"</formula>
    </cfRule>
  </conditionalFormatting>
  <conditionalFormatting sqref="J5:J200">
    <cfRule type="expression" dxfId="14" priority="5">
      <formula>J5="Alta"</formula>
    </cfRule>
    <cfRule type="expression" dxfId="13" priority="6">
      <formula>J5="Media"</formula>
    </cfRule>
    <cfRule type="expression" dxfId="12" priority="7">
      <formula>J5="Baja"</formula>
    </cfRule>
  </conditionalFormatting>
  <dataValidations count="3">
    <dataValidation type="list" sqref="K5:K200">
      <formula1>"Operativo,En Mantenimiento,Fuera de Servicio"</formula1>
      <formula2>0</formula2>
    </dataValidation>
    <dataValidation type="list" allowBlank="1" sqref="D5:D200">
      <formula1>"Mecanizado,Perforación,Soldadura,Neumática,Prensado,Izaje,Transporte,Eléctrico,Hidráulica"</formula1>
      <formula2>0</formula2>
    </dataValidation>
    <dataValidation type="list" sqref="J5:J200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B20"/>
  </sheetPr>
  <dimension ref="A1:P1040"/>
  <sheetViews>
    <sheetView showGridLines="0" zoomScaleNormal="100" workbookViewId="0">
      <pane ySplit="10" topLeftCell="A11" activePane="bottomLeft" state="frozen"/>
      <selection pane="bottomLeft"/>
    </sheetView>
  </sheetViews>
  <sheetFormatPr baseColWidth="10" defaultColWidth="8.6640625" defaultRowHeight="14.4" x14ac:dyDescent="0.3"/>
  <cols>
    <col min="1" max="1" width="6" style="1" customWidth="1"/>
    <col min="2" max="2" width="10" style="1" customWidth="1"/>
    <col min="3" max="3" width="14" style="1" customWidth="1"/>
    <col min="4" max="5" width="10" style="1" customWidth="1"/>
    <col min="6" max="6" width="18" style="1" customWidth="1"/>
    <col min="7" max="7" width="28" style="1" customWidth="1"/>
    <col min="8" max="8" width="10" style="1" customWidth="1"/>
    <col min="9" max="9" width="12" style="1" customWidth="1"/>
    <col min="10" max="10" width="14" style="1" customWidth="1"/>
    <col min="11" max="11" width="10" style="1" customWidth="1"/>
    <col min="12" max="13" width="12" style="1" customWidth="1"/>
    <col min="14" max="14" width="24" style="1" customWidth="1"/>
    <col min="15" max="16" width="16" style="1" customWidth="1"/>
  </cols>
  <sheetData>
    <row r="1" spans="1:16" ht="27.75" customHeight="1" x14ac:dyDescent="0.3">
      <c r="A1" s="154" t="s">
        <v>291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6" ht="18" customHeight="1" x14ac:dyDescent="0.3">
      <c r="A2" s="150" t="s">
        <v>292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</row>
    <row r="4" spans="1:16" ht="15.75" customHeight="1" x14ac:dyDescent="0.3">
      <c r="A4" s="149" t="s">
        <v>160</v>
      </c>
      <c r="B4" s="121"/>
      <c r="C4" s="121"/>
      <c r="D4" s="138" t="s">
        <v>293</v>
      </c>
      <c r="E4" s="121"/>
      <c r="F4" s="121"/>
      <c r="G4" s="131" t="s">
        <v>294</v>
      </c>
      <c r="H4" s="121"/>
      <c r="I4" s="121"/>
      <c r="J4" s="148" t="s">
        <v>295</v>
      </c>
      <c r="K4" s="121"/>
      <c r="L4" s="121"/>
      <c r="M4" s="139" t="s">
        <v>165</v>
      </c>
      <c r="N4" s="121"/>
      <c r="O4" s="121"/>
      <c r="P4" s="121"/>
    </row>
    <row r="5" spans="1:16" ht="27.75" customHeight="1" x14ac:dyDescent="0.3">
      <c r="A5" s="171">
        <f>COUNTA(A11:A5000)</f>
        <v>30</v>
      </c>
      <c r="B5" s="125"/>
      <c r="C5" s="125"/>
      <c r="D5" s="172">
        <f>COUNTIF(E11:E5000,TRUE())</f>
        <v>24</v>
      </c>
      <c r="E5" s="125"/>
      <c r="F5" s="125"/>
      <c r="G5" s="173">
        <f>COUNTIF(E11:E5000,FALSE())</f>
        <v>6</v>
      </c>
      <c r="H5" s="125"/>
      <c r="I5" s="125"/>
      <c r="J5" s="174">
        <f>SUM(L11:L5000)</f>
        <v>19950</v>
      </c>
      <c r="K5" s="125"/>
      <c r="L5" s="125"/>
      <c r="M5" s="170">
        <f>SUM(M11:M5000)</f>
        <v>22600</v>
      </c>
      <c r="N5" s="125"/>
      <c r="O5" s="125"/>
      <c r="P5" s="125"/>
    </row>
    <row r="6" spans="1:16" ht="15.75" customHeight="1" x14ac:dyDescent="0.3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</row>
    <row r="7" spans="1:16" ht="6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8" customHeight="1" x14ac:dyDescent="0.3">
      <c r="A8" s="138" t="s">
        <v>296</v>
      </c>
      <c r="B8" s="121"/>
      <c r="C8" s="121"/>
      <c r="D8" s="121"/>
      <c r="E8" s="138" t="s">
        <v>297</v>
      </c>
      <c r="F8" s="121"/>
      <c r="G8" s="121"/>
      <c r="H8" s="121"/>
      <c r="I8" s="138" t="s">
        <v>298</v>
      </c>
      <c r="J8" s="121"/>
      <c r="K8" s="121"/>
      <c r="L8" s="121"/>
      <c r="M8" s="138" t="s">
        <v>299</v>
      </c>
      <c r="N8" s="121"/>
      <c r="O8" s="138" t="s">
        <v>300</v>
      </c>
      <c r="P8" s="121"/>
    </row>
    <row r="9" spans="1:16" ht="33.75" customHeight="1" x14ac:dyDescent="0.3">
      <c r="A9" s="16" t="s">
        <v>301</v>
      </c>
      <c r="B9" s="16" t="s">
        <v>302</v>
      </c>
      <c r="C9" s="16" t="s">
        <v>303</v>
      </c>
      <c r="D9" s="16" t="s">
        <v>304</v>
      </c>
      <c r="E9" s="16" t="s">
        <v>305</v>
      </c>
      <c r="F9" s="16" t="s">
        <v>179</v>
      </c>
      <c r="G9" s="16" t="s">
        <v>172</v>
      </c>
      <c r="H9" s="16" t="s">
        <v>306</v>
      </c>
      <c r="I9" s="16" t="s">
        <v>307</v>
      </c>
      <c r="J9" s="16" t="s">
        <v>308</v>
      </c>
      <c r="K9" s="16" t="s">
        <v>309</v>
      </c>
      <c r="L9" s="16" t="s">
        <v>310</v>
      </c>
      <c r="M9" s="16" t="s">
        <v>311</v>
      </c>
      <c r="N9" s="16" t="s">
        <v>312</v>
      </c>
      <c r="O9" s="16" t="s">
        <v>313</v>
      </c>
      <c r="P9" s="16" t="s">
        <v>314</v>
      </c>
    </row>
    <row r="10" spans="1:16" ht="15.75" customHeight="1" x14ac:dyDescent="0.3">
      <c r="A10" s="169" t="s">
        <v>315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</row>
    <row r="11" spans="1:16" ht="19.5" customHeight="1" x14ac:dyDescent="0.3">
      <c r="A11" s="7">
        <v>1</v>
      </c>
      <c r="B11" s="7">
        <v>1</v>
      </c>
      <c r="C11" s="60" t="s">
        <v>316</v>
      </c>
      <c r="D11" s="7" t="s">
        <v>317</v>
      </c>
      <c r="E11" s="7" t="b">
        <f>TRUE()</f>
        <v>1</v>
      </c>
      <c r="F11" s="7" t="s">
        <v>197</v>
      </c>
      <c r="G11" s="8" t="s">
        <v>318</v>
      </c>
      <c r="H11" s="7" t="b">
        <f>TRUE()</f>
        <v>1</v>
      </c>
      <c r="I11" s="7">
        <v>120</v>
      </c>
      <c r="J11" s="60" t="s">
        <v>316</v>
      </c>
      <c r="K11" s="7">
        <v>30</v>
      </c>
      <c r="L11" s="10">
        <v>550</v>
      </c>
      <c r="M11" s="10">
        <v>780</v>
      </c>
      <c r="N11" s="61" t="s">
        <v>52</v>
      </c>
      <c r="O11" s="1" t="s">
        <v>197</v>
      </c>
      <c r="P11" s="1" t="s">
        <v>319</v>
      </c>
    </row>
    <row r="12" spans="1:16" ht="19.5" customHeight="1" x14ac:dyDescent="0.3">
      <c r="A12" s="11">
        <v>2</v>
      </c>
      <c r="B12" s="11">
        <v>2</v>
      </c>
      <c r="C12" s="62" t="s">
        <v>121</v>
      </c>
      <c r="D12" s="11" t="s">
        <v>320</v>
      </c>
      <c r="E12" s="11" t="b">
        <f>TRUE()</f>
        <v>1</v>
      </c>
      <c r="F12" s="11" t="s">
        <v>186</v>
      </c>
      <c r="G12" s="12" t="s">
        <v>321</v>
      </c>
      <c r="H12" s="11" t="b">
        <f>TRUE()</f>
        <v>1</v>
      </c>
      <c r="I12" s="11">
        <v>90</v>
      </c>
      <c r="J12" s="62" t="s">
        <v>121</v>
      </c>
      <c r="K12" s="11">
        <v>30</v>
      </c>
      <c r="L12" s="14">
        <v>450</v>
      </c>
      <c r="M12" s="14">
        <v>320</v>
      </c>
      <c r="N12" s="63" t="s">
        <v>54</v>
      </c>
      <c r="O12" s="1" t="s">
        <v>186</v>
      </c>
      <c r="P12" s="1" t="s">
        <v>319</v>
      </c>
    </row>
    <row r="13" spans="1:16" ht="14.25" customHeight="1" x14ac:dyDescent="0.3">
      <c r="A13" s="1">
        <v>3</v>
      </c>
      <c r="B13" s="1">
        <v>5</v>
      </c>
      <c r="C13" s="1" t="s">
        <v>138</v>
      </c>
      <c r="D13" s="1" t="s">
        <v>322</v>
      </c>
      <c r="E13" s="1" t="b">
        <f>TRUE()</f>
        <v>1</v>
      </c>
      <c r="F13" s="1" t="s">
        <v>192</v>
      </c>
      <c r="G13" s="1" t="s">
        <v>323</v>
      </c>
      <c r="H13" s="1" t="b">
        <f>TRUE()</f>
        <v>1</v>
      </c>
      <c r="I13" s="1">
        <v>60</v>
      </c>
      <c r="J13" s="1" t="s">
        <v>138</v>
      </c>
      <c r="K13" s="1">
        <v>15</v>
      </c>
      <c r="L13" s="1">
        <v>350</v>
      </c>
      <c r="M13" s="1">
        <v>180</v>
      </c>
      <c r="N13" s="1" t="s">
        <v>60</v>
      </c>
      <c r="O13" s="1" t="s">
        <v>192</v>
      </c>
      <c r="P13" s="1" t="s">
        <v>319</v>
      </c>
    </row>
    <row r="14" spans="1:16" ht="14.25" customHeight="1" x14ac:dyDescent="0.3">
      <c r="A14" s="1">
        <v>4</v>
      </c>
      <c r="B14" s="1">
        <v>7</v>
      </c>
      <c r="C14" s="1" t="s">
        <v>152</v>
      </c>
      <c r="D14" s="1" t="s">
        <v>324</v>
      </c>
      <c r="E14" s="1" t="b">
        <f>TRUE()</f>
        <v>1</v>
      </c>
      <c r="F14" s="1" t="s">
        <v>197</v>
      </c>
      <c r="G14" s="1" t="s">
        <v>325</v>
      </c>
      <c r="H14" s="1" t="b">
        <f>TRUE()</f>
        <v>1</v>
      </c>
      <c r="I14" s="1">
        <v>150</v>
      </c>
      <c r="J14" s="1" t="s">
        <v>152</v>
      </c>
      <c r="K14" s="1">
        <v>30</v>
      </c>
      <c r="L14" s="1">
        <v>750</v>
      </c>
      <c r="M14" s="1">
        <v>450</v>
      </c>
      <c r="N14" s="1" t="s">
        <v>64</v>
      </c>
      <c r="O14" s="1" t="s">
        <v>197</v>
      </c>
      <c r="P14" s="1" t="s">
        <v>319</v>
      </c>
    </row>
    <row r="15" spans="1:16" ht="14.25" customHeight="1" x14ac:dyDescent="0.3">
      <c r="A15" s="1">
        <v>5</v>
      </c>
      <c r="B15" s="1">
        <v>3</v>
      </c>
      <c r="C15" s="1" t="s">
        <v>130</v>
      </c>
      <c r="D15" s="1" t="s">
        <v>326</v>
      </c>
      <c r="E15" s="1" t="b">
        <f>FALSE()</f>
        <v>0</v>
      </c>
      <c r="F15" s="1" t="s">
        <v>186</v>
      </c>
      <c r="G15" s="1" t="s">
        <v>327</v>
      </c>
      <c r="H15" s="1" t="b">
        <f>TRUE()</f>
        <v>1</v>
      </c>
      <c r="I15" s="1">
        <v>240</v>
      </c>
      <c r="J15" s="1" t="s">
        <v>130</v>
      </c>
      <c r="K15" s="1">
        <v>0</v>
      </c>
      <c r="L15" s="1">
        <v>1200</v>
      </c>
      <c r="M15" s="1">
        <v>2100</v>
      </c>
      <c r="N15" s="1" t="s">
        <v>56</v>
      </c>
      <c r="O15" s="1" t="s">
        <v>186</v>
      </c>
      <c r="P15" s="1" t="s">
        <v>319</v>
      </c>
    </row>
    <row r="16" spans="1:16" ht="14.25" customHeight="1" x14ac:dyDescent="0.3">
      <c r="A16" s="1">
        <v>6</v>
      </c>
      <c r="B16" s="1">
        <v>1</v>
      </c>
      <c r="C16" s="1" t="s">
        <v>328</v>
      </c>
      <c r="D16" s="1" t="s">
        <v>320</v>
      </c>
      <c r="E16" s="1" t="b">
        <f>TRUE()</f>
        <v>1</v>
      </c>
      <c r="F16" s="1" t="s">
        <v>197</v>
      </c>
      <c r="G16" s="1" t="s">
        <v>329</v>
      </c>
      <c r="H16" s="1" t="b">
        <f>TRUE()</f>
        <v>1</v>
      </c>
      <c r="I16" s="1">
        <v>90</v>
      </c>
      <c r="J16" s="1" t="s">
        <v>328</v>
      </c>
      <c r="K16" s="1">
        <v>30</v>
      </c>
      <c r="L16" s="1">
        <v>450</v>
      </c>
      <c r="M16" s="1">
        <v>280</v>
      </c>
      <c r="N16" s="1" t="s">
        <v>52</v>
      </c>
      <c r="O16" s="1" t="s">
        <v>197</v>
      </c>
      <c r="P16" s="1" t="s">
        <v>319</v>
      </c>
    </row>
    <row r="17" spans="1:16" ht="14.25" customHeight="1" x14ac:dyDescent="0.3">
      <c r="A17" s="1">
        <v>7</v>
      </c>
      <c r="B17" s="1">
        <v>6</v>
      </c>
      <c r="C17" s="1" t="s">
        <v>330</v>
      </c>
      <c r="D17" s="1" t="s">
        <v>317</v>
      </c>
      <c r="E17" s="1" t="b">
        <f>TRUE()</f>
        <v>1</v>
      </c>
      <c r="F17" s="1" t="s">
        <v>204</v>
      </c>
      <c r="G17" s="1" t="s">
        <v>331</v>
      </c>
      <c r="H17" s="1" t="b">
        <f>TRUE()</f>
        <v>1</v>
      </c>
      <c r="I17" s="1">
        <v>120</v>
      </c>
      <c r="J17" s="1" t="s">
        <v>330</v>
      </c>
      <c r="K17" s="1">
        <v>7</v>
      </c>
      <c r="L17" s="1">
        <v>600</v>
      </c>
      <c r="M17" s="1">
        <v>580</v>
      </c>
      <c r="N17" s="1" t="s">
        <v>62</v>
      </c>
      <c r="O17" s="1" t="s">
        <v>204</v>
      </c>
      <c r="P17" s="1" t="s">
        <v>319</v>
      </c>
    </row>
    <row r="18" spans="1:16" ht="14.25" customHeight="1" x14ac:dyDescent="0.3">
      <c r="A18" s="1">
        <v>8</v>
      </c>
      <c r="B18" s="1">
        <v>9</v>
      </c>
      <c r="C18" s="1" t="s">
        <v>332</v>
      </c>
      <c r="D18" s="1" t="s">
        <v>317</v>
      </c>
      <c r="E18" s="1" t="b">
        <f>TRUE()</f>
        <v>1</v>
      </c>
      <c r="F18" s="1" t="s">
        <v>219</v>
      </c>
      <c r="G18" s="1" t="s">
        <v>333</v>
      </c>
      <c r="H18" s="1" t="b">
        <f>TRUE()</f>
        <v>1</v>
      </c>
      <c r="I18" s="1">
        <v>120</v>
      </c>
      <c r="J18" s="1" t="s">
        <v>332</v>
      </c>
      <c r="K18" s="1">
        <v>15</v>
      </c>
      <c r="L18" s="1">
        <v>600</v>
      </c>
      <c r="M18" s="1">
        <v>420</v>
      </c>
      <c r="N18" s="1" t="s">
        <v>68</v>
      </c>
      <c r="O18" s="1" t="s">
        <v>219</v>
      </c>
      <c r="P18" s="1" t="s">
        <v>319</v>
      </c>
    </row>
    <row r="19" spans="1:16" ht="14.25" customHeight="1" x14ac:dyDescent="0.3">
      <c r="A19" s="1">
        <v>9</v>
      </c>
      <c r="B19" s="1">
        <v>4</v>
      </c>
      <c r="C19" s="1" t="s">
        <v>334</v>
      </c>
      <c r="D19" s="1" t="s">
        <v>335</v>
      </c>
      <c r="E19" s="1" t="b">
        <f>TRUE()</f>
        <v>1</v>
      </c>
      <c r="F19" s="1" t="s">
        <v>186</v>
      </c>
      <c r="G19" s="1" t="s">
        <v>336</v>
      </c>
      <c r="H19" s="1" t="b">
        <f>TRUE()</f>
        <v>1</v>
      </c>
      <c r="I19" s="1">
        <v>90</v>
      </c>
      <c r="J19" s="1" t="s">
        <v>334</v>
      </c>
      <c r="K19" s="1">
        <v>30</v>
      </c>
      <c r="L19" s="1">
        <v>450</v>
      </c>
      <c r="M19" s="1">
        <v>250</v>
      </c>
      <c r="N19" s="1" t="s">
        <v>58</v>
      </c>
      <c r="O19" s="1" t="s">
        <v>186</v>
      </c>
      <c r="P19" s="1" t="s">
        <v>319</v>
      </c>
    </row>
    <row r="20" spans="1:16" ht="14.25" customHeight="1" x14ac:dyDescent="0.3">
      <c r="A20" s="1">
        <v>10</v>
      </c>
      <c r="B20" s="1">
        <v>2</v>
      </c>
      <c r="C20" s="1" t="s">
        <v>191</v>
      </c>
      <c r="D20" s="1" t="s">
        <v>326</v>
      </c>
      <c r="E20" s="1" t="b">
        <f>FALSE()</f>
        <v>0</v>
      </c>
      <c r="F20" s="1" t="s">
        <v>192</v>
      </c>
      <c r="G20" s="1" t="s">
        <v>337</v>
      </c>
      <c r="H20" s="1" t="b">
        <f>TRUE()</f>
        <v>1</v>
      </c>
      <c r="I20" s="1">
        <v>300</v>
      </c>
      <c r="J20" s="1" t="s">
        <v>191</v>
      </c>
      <c r="K20" s="1">
        <v>0</v>
      </c>
      <c r="L20" s="1">
        <v>1500</v>
      </c>
      <c r="M20" s="1">
        <v>3200</v>
      </c>
      <c r="N20" s="1" t="s">
        <v>54</v>
      </c>
      <c r="O20" s="1" t="s">
        <v>192</v>
      </c>
      <c r="P20" s="1" t="s">
        <v>319</v>
      </c>
    </row>
    <row r="21" spans="1:16" ht="14.25" customHeight="1" x14ac:dyDescent="0.3">
      <c r="A21" s="1">
        <v>11</v>
      </c>
      <c r="B21" s="1">
        <v>8</v>
      </c>
      <c r="C21" s="1" t="s">
        <v>338</v>
      </c>
      <c r="D21" s="1" t="s">
        <v>322</v>
      </c>
      <c r="E21" s="1" t="b">
        <f>TRUE()</f>
        <v>1</v>
      </c>
      <c r="F21" s="1" t="s">
        <v>197</v>
      </c>
      <c r="G21" s="1" t="s">
        <v>339</v>
      </c>
      <c r="H21" s="1" t="b">
        <f>TRUE()</f>
        <v>1</v>
      </c>
      <c r="I21" s="1">
        <v>60</v>
      </c>
      <c r="J21" s="1" t="s">
        <v>338</v>
      </c>
      <c r="K21" s="1">
        <v>7</v>
      </c>
      <c r="L21" s="1">
        <v>300</v>
      </c>
      <c r="M21" s="1">
        <v>150</v>
      </c>
      <c r="N21" s="1" t="s">
        <v>66</v>
      </c>
      <c r="O21" s="1" t="s">
        <v>197</v>
      </c>
      <c r="P21" s="1" t="s">
        <v>319</v>
      </c>
    </row>
    <row r="22" spans="1:16" ht="14.25" customHeight="1" x14ac:dyDescent="0.3">
      <c r="A22" s="1">
        <v>12</v>
      </c>
      <c r="B22" s="1">
        <v>10</v>
      </c>
      <c r="C22" s="1" t="s">
        <v>340</v>
      </c>
      <c r="D22" s="1" t="s">
        <v>320</v>
      </c>
      <c r="E22" s="1" t="b">
        <f>TRUE()</f>
        <v>1</v>
      </c>
      <c r="F22" s="1" t="s">
        <v>204</v>
      </c>
      <c r="G22" s="1" t="s">
        <v>341</v>
      </c>
      <c r="H22" s="1" t="b">
        <f>TRUE()</f>
        <v>1</v>
      </c>
      <c r="I22" s="1">
        <v>90</v>
      </c>
      <c r="J22" s="1" t="s">
        <v>340</v>
      </c>
      <c r="K22" s="1">
        <v>7</v>
      </c>
      <c r="L22" s="1">
        <v>450</v>
      </c>
      <c r="M22" s="1">
        <v>320</v>
      </c>
      <c r="N22" s="1" t="s">
        <v>70</v>
      </c>
      <c r="O22" s="1" t="s">
        <v>204</v>
      </c>
      <c r="P22" s="1" t="s">
        <v>319</v>
      </c>
    </row>
    <row r="23" spans="1:16" ht="14.25" customHeight="1" x14ac:dyDescent="0.3">
      <c r="A23" s="1">
        <v>13</v>
      </c>
      <c r="B23" s="1">
        <v>1</v>
      </c>
      <c r="C23" s="1" t="s">
        <v>143</v>
      </c>
      <c r="D23" s="1" t="s">
        <v>317</v>
      </c>
      <c r="E23" s="1" t="b">
        <f>TRUE()</f>
        <v>1</v>
      </c>
      <c r="F23" s="1" t="s">
        <v>197</v>
      </c>
      <c r="G23" s="1" t="s">
        <v>342</v>
      </c>
      <c r="H23" s="1" t="b">
        <f>TRUE()</f>
        <v>1</v>
      </c>
      <c r="I23" s="1">
        <v>120</v>
      </c>
      <c r="J23" s="1" t="s">
        <v>143</v>
      </c>
      <c r="K23" s="1">
        <v>30</v>
      </c>
      <c r="L23" s="1">
        <v>550</v>
      </c>
      <c r="M23" s="1">
        <v>780</v>
      </c>
      <c r="N23" s="1" t="s">
        <v>52</v>
      </c>
      <c r="O23" s="1" t="s">
        <v>197</v>
      </c>
      <c r="P23" s="1" t="s">
        <v>319</v>
      </c>
    </row>
    <row r="24" spans="1:16" ht="14.25" customHeight="1" x14ac:dyDescent="0.3">
      <c r="A24" s="1">
        <v>14</v>
      </c>
      <c r="B24" s="1">
        <v>5</v>
      </c>
      <c r="C24" s="1" t="s">
        <v>343</v>
      </c>
      <c r="D24" s="1" t="s">
        <v>320</v>
      </c>
      <c r="E24" s="1" t="b">
        <f>TRUE()</f>
        <v>1</v>
      </c>
      <c r="F24" s="1" t="s">
        <v>192</v>
      </c>
      <c r="G24" s="1" t="s">
        <v>344</v>
      </c>
      <c r="H24" s="1" t="b">
        <f>TRUE()</f>
        <v>1</v>
      </c>
      <c r="I24" s="1">
        <v>150</v>
      </c>
      <c r="J24" s="1" t="s">
        <v>343</v>
      </c>
      <c r="K24" s="1">
        <v>30</v>
      </c>
      <c r="L24" s="1">
        <v>750</v>
      </c>
      <c r="M24" s="1">
        <v>650</v>
      </c>
      <c r="N24" s="1" t="s">
        <v>60</v>
      </c>
      <c r="O24" s="1" t="s">
        <v>192</v>
      </c>
      <c r="P24" s="1" t="s">
        <v>319</v>
      </c>
    </row>
    <row r="25" spans="1:16" ht="14.25" customHeight="1" x14ac:dyDescent="0.3">
      <c r="A25" s="1">
        <v>15</v>
      </c>
      <c r="B25" s="1">
        <v>7</v>
      </c>
      <c r="C25" s="1" t="s">
        <v>195</v>
      </c>
      <c r="D25" s="1" t="s">
        <v>326</v>
      </c>
      <c r="E25" s="1" t="b">
        <f>FALSE()</f>
        <v>0</v>
      </c>
      <c r="F25" s="1" t="s">
        <v>197</v>
      </c>
      <c r="G25" s="1" t="s">
        <v>345</v>
      </c>
      <c r="H25" s="1" t="b">
        <f>TRUE()</f>
        <v>1</v>
      </c>
      <c r="I25" s="1">
        <v>360</v>
      </c>
      <c r="J25" s="1" t="s">
        <v>196</v>
      </c>
      <c r="K25" s="1">
        <v>0</v>
      </c>
      <c r="L25" s="1">
        <v>1800</v>
      </c>
      <c r="M25" s="1">
        <v>3800</v>
      </c>
      <c r="N25" s="1" t="s">
        <v>64</v>
      </c>
      <c r="O25" s="1" t="s">
        <v>197</v>
      </c>
      <c r="P25" s="1" t="s">
        <v>319</v>
      </c>
    </row>
    <row r="26" spans="1:16" ht="14.25" customHeight="1" x14ac:dyDescent="0.3">
      <c r="A26" s="1">
        <v>16</v>
      </c>
      <c r="B26" s="1">
        <v>3</v>
      </c>
      <c r="C26" s="1" t="s">
        <v>346</v>
      </c>
      <c r="D26" s="1" t="s">
        <v>322</v>
      </c>
      <c r="E26" s="1" t="b">
        <f>TRUE()</f>
        <v>1</v>
      </c>
      <c r="F26" s="1" t="s">
        <v>186</v>
      </c>
      <c r="G26" s="1" t="s">
        <v>347</v>
      </c>
      <c r="H26" s="1" t="b">
        <f>TRUE()</f>
        <v>1</v>
      </c>
      <c r="I26" s="1">
        <v>60</v>
      </c>
      <c r="J26" s="1" t="s">
        <v>346</v>
      </c>
      <c r="K26" s="1">
        <v>30</v>
      </c>
      <c r="L26" s="1">
        <v>300</v>
      </c>
      <c r="M26" s="1">
        <v>180</v>
      </c>
      <c r="N26" s="1" t="s">
        <v>56</v>
      </c>
      <c r="O26" s="1" t="s">
        <v>186</v>
      </c>
      <c r="P26" s="1" t="s">
        <v>319</v>
      </c>
    </row>
    <row r="27" spans="1:16" ht="14.25" customHeight="1" x14ac:dyDescent="0.3">
      <c r="A27" s="1">
        <v>17</v>
      </c>
      <c r="B27" s="1">
        <v>6</v>
      </c>
      <c r="C27" s="1" t="s">
        <v>348</v>
      </c>
      <c r="D27" s="1" t="s">
        <v>317</v>
      </c>
      <c r="E27" s="1" t="b">
        <f>TRUE()</f>
        <v>1</v>
      </c>
      <c r="F27" s="1" t="s">
        <v>204</v>
      </c>
      <c r="G27" s="1" t="s">
        <v>349</v>
      </c>
      <c r="H27" s="1" t="b">
        <f>TRUE()</f>
        <v>1</v>
      </c>
      <c r="I27" s="1">
        <v>90</v>
      </c>
      <c r="J27" s="1" t="s">
        <v>348</v>
      </c>
      <c r="K27" s="1">
        <v>60</v>
      </c>
      <c r="L27" s="1">
        <v>450</v>
      </c>
      <c r="M27" s="1">
        <v>380</v>
      </c>
      <c r="N27" s="1" t="s">
        <v>62</v>
      </c>
      <c r="O27" s="1" t="s">
        <v>204</v>
      </c>
      <c r="P27" s="1" t="s">
        <v>319</v>
      </c>
    </row>
    <row r="28" spans="1:16" ht="14.25" customHeight="1" x14ac:dyDescent="0.3">
      <c r="A28" s="1">
        <v>18</v>
      </c>
      <c r="B28" s="1">
        <v>4</v>
      </c>
      <c r="C28" s="1" t="s">
        <v>200</v>
      </c>
      <c r="D28" s="1" t="s">
        <v>326</v>
      </c>
      <c r="E28" s="1" t="b">
        <f>FALSE()</f>
        <v>0</v>
      </c>
      <c r="F28" s="1" t="s">
        <v>186</v>
      </c>
      <c r="G28" s="1" t="s">
        <v>350</v>
      </c>
      <c r="H28" s="1" t="b">
        <f>TRUE()</f>
        <v>1</v>
      </c>
      <c r="I28" s="1">
        <v>240</v>
      </c>
      <c r="J28" s="1" t="s">
        <v>200</v>
      </c>
      <c r="K28" s="1">
        <v>0</v>
      </c>
      <c r="L28" s="1">
        <v>1200</v>
      </c>
      <c r="M28" s="1">
        <v>1800</v>
      </c>
      <c r="N28" s="1" t="s">
        <v>58</v>
      </c>
      <c r="O28" s="1" t="s">
        <v>186</v>
      </c>
      <c r="P28" s="1" t="s">
        <v>319</v>
      </c>
    </row>
    <row r="29" spans="1:16" ht="14.25" customHeight="1" x14ac:dyDescent="0.3">
      <c r="A29" s="1">
        <v>19</v>
      </c>
      <c r="B29" s="1">
        <v>2</v>
      </c>
      <c r="C29" s="1" t="s">
        <v>351</v>
      </c>
      <c r="D29" s="1" t="s">
        <v>320</v>
      </c>
      <c r="E29" s="1" t="b">
        <f>TRUE()</f>
        <v>1</v>
      </c>
      <c r="F29" s="1" t="s">
        <v>186</v>
      </c>
      <c r="G29" s="1" t="s">
        <v>352</v>
      </c>
      <c r="H29" s="1" t="b">
        <f>TRUE()</f>
        <v>1</v>
      </c>
      <c r="I29" s="1">
        <v>60</v>
      </c>
      <c r="J29" s="1" t="s">
        <v>351</v>
      </c>
      <c r="K29" s="1">
        <v>7</v>
      </c>
      <c r="L29" s="1">
        <v>300</v>
      </c>
      <c r="M29" s="1">
        <v>150</v>
      </c>
      <c r="N29" s="1" t="s">
        <v>54</v>
      </c>
      <c r="O29" s="1" t="s">
        <v>186</v>
      </c>
      <c r="P29" s="1" t="s">
        <v>319</v>
      </c>
    </row>
    <row r="30" spans="1:16" ht="14.25" customHeight="1" x14ac:dyDescent="0.3">
      <c r="A30" s="1">
        <v>20</v>
      </c>
      <c r="B30" s="1">
        <v>8</v>
      </c>
      <c r="C30" s="1" t="s">
        <v>123</v>
      </c>
      <c r="D30" s="1" t="s">
        <v>322</v>
      </c>
      <c r="E30" s="1" t="b">
        <f>TRUE()</f>
        <v>1</v>
      </c>
      <c r="F30" s="1" t="s">
        <v>197</v>
      </c>
      <c r="G30" s="1" t="s">
        <v>353</v>
      </c>
      <c r="H30" s="1" t="b">
        <f>TRUE()</f>
        <v>1</v>
      </c>
      <c r="I30" s="1">
        <v>90</v>
      </c>
      <c r="J30" s="1" t="s">
        <v>123</v>
      </c>
      <c r="K30" s="1">
        <v>30</v>
      </c>
      <c r="L30" s="1">
        <v>450</v>
      </c>
      <c r="M30" s="1">
        <v>380</v>
      </c>
      <c r="N30" s="1" t="s">
        <v>66</v>
      </c>
      <c r="O30" s="1" t="s">
        <v>197</v>
      </c>
      <c r="P30" s="1" t="s">
        <v>319</v>
      </c>
    </row>
    <row r="31" spans="1:16" ht="14.25" customHeight="1" x14ac:dyDescent="0.3">
      <c r="A31" s="1">
        <v>21</v>
      </c>
      <c r="B31" s="1">
        <v>9</v>
      </c>
      <c r="C31" s="1" t="s">
        <v>354</v>
      </c>
      <c r="D31" s="1" t="s">
        <v>317</v>
      </c>
      <c r="E31" s="1" t="b">
        <f>TRUE()</f>
        <v>1</v>
      </c>
      <c r="F31" s="1" t="s">
        <v>219</v>
      </c>
      <c r="G31" s="1" t="s">
        <v>355</v>
      </c>
      <c r="H31" s="1" t="b">
        <f>TRUE()</f>
        <v>1</v>
      </c>
      <c r="I31" s="1">
        <v>150</v>
      </c>
      <c r="J31" s="1" t="s">
        <v>354</v>
      </c>
      <c r="K31" s="1">
        <v>60</v>
      </c>
      <c r="L31" s="1">
        <v>750</v>
      </c>
      <c r="M31" s="1">
        <v>850</v>
      </c>
      <c r="N31" s="1" t="s">
        <v>68</v>
      </c>
      <c r="O31" s="1" t="s">
        <v>219</v>
      </c>
      <c r="P31" s="1" t="s">
        <v>319</v>
      </c>
    </row>
    <row r="32" spans="1:16" ht="14.25" customHeight="1" x14ac:dyDescent="0.3">
      <c r="A32" s="1">
        <v>22</v>
      </c>
      <c r="B32" s="1">
        <v>10</v>
      </c>
      <c r="C32" s="1" t="s">
        <v>203</v>
      </c>
      <c r="D32" s="1" t="s">
        <v>326</v>
      </c>
      <c r="E32" s="1" t="b">
        <f>FALSE()</f>
        <v>0</v>
      </c>
      <c r="F32" s="1" t="s">
        <v>204</v>
      </c>
      <c r="G32" s="1" t="s">
        <v>356</v>
      </c>
      <c r="H32" s="1" t="b">
        <f>TRUE()</f>
        <v>1</v>
      </c>
      <c r="I32" s="1">
        <v>180</v>
      </c>
      <c r="J32" s="1" t="s">
        <v>203</v>
      </c>
      <c r="K32" s="1">
        <v>0</v>
      </c>
      <c r="L32" s="1">
        <v>900</v>
      </c>
      <c r="M32" s="1">
        <v>1300</v>
      </c>
      <c r="N32" s="1" t="s">
        <v>70</v>
      </c>
      <c r="O32" s="1" t="s">
        <v>204</v>
      </c>
      <c r="P32" s="1" t="s">
        <v>319</v>
      </c>
    </row>
    <row r="33" spans="1:16" ht="14.25" customHeight="1" x14ac:dyDescent="0.3">
      <c r="A33" s="1">
        <v>23</v>
      </c>
      <c r="B33" s="1">
        <v>1</v>
      </c>
      <c r="C33" s="1" t="s">
        <v>357</v>
      </c>
      <c r="D33" s="1" t="s">
        <v>320</v>
      </c>
      <c r="E33" s="1" t="b">
        <f>TRUE()</f>
        <v>1</v>
      </c>
      <c r="F33" s="1" t="s">
        <v>197</v>
      </c>
      <c r="G33" s="1" t="s">
        <v>358</v>
      </c>
      <c r="H33" s="1" t="b">
        <f>TRUE()</f>
        <v>1</v>
      </c>
      <c r="I33" s="1">
        <v>180</v>
      </c>
      <c r="J33" s="1" t="s">
        <v>357</v>
      </c>
      <c r="K33" s="1">
        <v>90</v>
      </c>
      <c r="L33" s="1">
        <v>900</v>
      </c>
      <c r="M33" s="1">
        <v>520</v>
      </c>
      <c r="N33" s="1" t="s">
        <v>52</v>
      </c>
      <c r="O33" s="1" t="s">
        <v>197</v>
      </c>
      <c r="P33" s="1" t="s">
        <v>319</v>
      </c>
    </row>
    <row r="34" spans="1:16" ht="14.25" customHeight="1" x14ac:dyDescent="0.3">
      <c r="A34" s="1">
        <v>24</v>
      </c>
      <c r="B34" s="1">
        <v>5</v>
      </c>
      <c r="C34" s="1" t="s">
        <v>359</v>
      </c>
      <c r="D34" s="1" t="s">
        <v>322</v>
      </c>
      <c r="E34" s="1" t="b">
        <f>TRUE()</f>
        <v>1</v>
      </c>
      <c r="F34" s="1" t="s">
        <v>192</v>
      </c>
      <c r="G34" s="1" t="s">
        <v>360</v>
      </c>
      <c r="H34" s="1" t="b">
        <f>TRUE()</f>
        <v>1</v>
      </c>
      <c r="I34" s="1">
        <v>60</v>
      </c>
      <c r="J34" s="1" t="s">
        <v>359</v>
      </c>
      <c r="K34" s="1">
        <v>15</v>
      </c>
      <c r="L34" s="1">
        <v>350</v>
      </c>
      <c r="M34" s="1">
        <v>180</v>
      </c>
      <c r="N34" s="1" t="s">
        <v>60</v>
      </c>
      <c r="O34" s="1" t="s">
        <v>192</v>
      </c>
      <c r="P34" s="1" t="s">
        <v>319</v>
      </c>
    </row>
    <row r="35" spans="1:16" ht="14.25" customHeight="1" x14ac:dyDescent="0.3">
      <c r="A35" s="1">
        <v>25</v>
      </c>
      <c r="B35" s="1">
        <v>6</v>
      </c>
      <c r="C35" s="1" t="s">
        <v>361</v>
      </c>
      <c r="D35" s="1" t="s">
        <v>317</v>
      </c>
      <c r="E35" s="1" t="b">
        <f>TRUE()</f>
        <v>1</v>
      </c>
      <c r="F35" s="1" t="s">
        <v>204</v>
      </c>
      <c r="G35" s="1" t="s">
        <v>362</v>
      </c>
      <c r="H35" s="1" t="b">
        <f>TRUE()</f>
        <v>1</v>
      </c>
      <c r="I35" s="1">
        <v>120</v>
      </c>
      <c r="J35" s="1" t="s">
        <v>361</v>
      </c>
      <c r="K35" s="1">
        <v>7</v>
      </c>
      <c r="L35" s="1">
        <v>600</v>
      </c>
      <c r="M35" s="1">
        <v>580</v>
      </c>
      <c r="N35" s="1" t="s">
        <v>62</v>
      </c>
      <c r="O35" s="1" t="s">
        <v>204</v>
      </c>
      <c r="P35" s="1" t="s">
        <v>319</v>
      </c>
    </row>
    <row r="36" spans="1:16" ht="14.25" customHeight="1" x14ac:dyDescent="0.3">
      <c r="A36" s="1">
        <v>26</v>
      </c>
      <c r="B36" s="1">
        <v>7</v>
      </c>
      <c r="C36" s="1" t="s">
        <v>363</v>
      </c>
      <c r="D36" s="1" t="s">
        <v>320</v>
      </c>
      <c r="E36" s="1" t="b">
        <f>TRUE()</f>
        <v>1</v>
      </c>
      <c r="F36" s="1" t="s">
        <v>197</v>
      </c>
      <c r="G36" s="1" t="s">
        <v>364</v>
      </c>
      <c r="H36" s="1" t="b">
        <f>TRUE()</f>
        <v>1</v>
      </c>
      <c r="I36" s="1">
        <v>120</v>
      </c>
      <c r="J36" s="1" t="s">
        <v>363</v>
      </c>
      <c r="K36" s="1">
        <v>15</v>
      </c>
      <c r="L36" s="1">
        <v>600</v>
      </c>
      <c r="M36" s="1">
        <v>350</v>
      </c>
      <c r="N36" s="1" t="s">
        <v>64</v>
      </c>
      <c r="O36" s="1" t="s">
        <v>197</v>
      </c>
      <c r="P36" s="1" t="s">
        <v>319</v>
      </c>
    </row>
    <row r="37" spans="1:16" ht="14.25" customHeight="1" x14ac:dyDescent="0.3">
      <c r="A37" s="1">
        <v>27</v>
      </c>
      <c r="B37" s="1">
        <v>3</v>
      </c>
      <c r="C37" s="1" t="s">
        <v>365</v>
      </c>
      <c r="D37" s="1" t="s">
        <v>322</v>
      </c>
      <c r="E37" s="1" t="b">
        <f>TRUE()</f>
        <v>1</v>
      </c>
      <c r="F37" s="1" t="s">
        <v>186</v>
      </c>
      <c r="G37" s="1" t="s">
        <v>366</v>
      </c>
      <c r="H37" s="1" t="b">
        <f>TRUE()</f>
        <v>1</v>
      </c>
      <c r="I37" s="1">
        <v>90</v>
      </c>
      <c r="J37" s="1" t="s">
        <v>365</v>
      </c>
      <c r="K37" s="1">
        <v>15</v>
      </c>
      <c r="L37" s="1">
        <v>450</v>
      </c>
      <c r="M37" s="1">
        <v>280</v>
      </c>
      <c r="N37" s="1" t="s">
        <v>56</v>
      </c>
      <c r="O37" s="1" t="s">
        <v>186</v>
      </c>
      <c r="P37" s="1" t="s">
        <v>319</v>
      </c>
    </row>
    <row r="38" spans="1:16" ht="14.25" customHeight="1" x14ac:dyDescent="0.3">
      <c r="A38" s="1">
        <v>28</v>
      </c>
      <c r="B38" s="1">
        <v>2</v>
      </c>
      <c r="C38" s="1" t="s">
        <v>367</v>
      </c>
      <c r="D38" s="1" t="s">
        <v>320</v>
      </c>
      <c r="E38" s="1" t="b">
        <f>TRUE()</f>
        <v>1</v>
      </c>
      <c r="F38" s="1" t="s">
        <v>186</v>
      </c>
      <c r="G38" s="1" t="s">
        <v>368</v>
      </c>
      <c r="H38" s="1" t="b">
        <f>TRUE()</f>
        <v>1</v>
      </c>
      <c r="I38" s="1">
        <v>90</v>
      </c>
      <c r="J38" s="1" t="s">
        <v>367</v>
      </c>
      <c r="K38" s="1">
        <v>7</v>
      </c>
      <c r="L38" s="1">
        <v>450</v>
      </c>
      <c r="M38" s="1">
        <v>320</v>
      </c>
      <c r="N38" s="1" t="s">
        <v>54</v>
      </c>
      <c r="O38" s="1" t="s">
        <v>186</v>
      </c>
      <c r="P38" s="1" t="s">
        <v>319</v>
      </c>
    </row>
    <row r="39" spans="1:16" ht="14.25" customHeight="1" x14ac:dyDescent="0.3">
      <c r="A39" s="1">
        <v>29</v>
      </c>
      <c r="B39" s="1">
        <v>4</v>
      </c>
      <c r="C39" s="1" t="s">
        <v>369</v>
      </c>
      <c r="D39" s="1" t="s">
        <v>324</v>
      </c>
      <c r="E39" s="1" t="b">
        <f>TRUE()</f>
        <v>1</v>
      </c>
      <c r="F39" s="1" t="s">
        <v>186</v>
      </c>
      <c r="G39" s="1" t="s">
        <v>370</v>
      </c>
      <c r="H39" s="1" t="b">
        <f>TRUE()</f>
        <v>1</v>
      </c>
      <c r="I39" s="1">
        <v>120</v>
      </c>
      <c r="J39" s="1" t="s">
        <v>369</v>
      </c>
      <c r="K39" s="1">
        <v>30</v>
      </c>
      <c r="L39" s="1">
        <v>600</v>
      </c>
      <c r="M39" s="1">
        <v>420</v>
      </c>
      <c r="N39" s="1" t="s">
        <v>58</v>
      </c>
      <c r="O39" s="1" t="s">
        <v>186</v>
      </c>
      <c r="P39" s="1" t="s">
        <v>319</v>
      </c>
    </row>
    <row r="40" spans="1:16" ht="14.25" customHeight="1" x14ac:dyDescent="0.3">
      <c r="A40" s="1">
        <v>30</v>
      </c>
      <c r="B40" s="1">
        <v>8</v>
      </c>
      <c r="C40" s="1" t="s">
        <v>208</v>
      </c>
      <c r="D40" s="1" t="s">
        <v>326</v>
      </c>
      <c r="E40" s="1" t="b">
        <f>FALSE()</f>
        <v>0</v>
      </c>
      <c r="F40" s="1" t="s">
        <v>197</v>
      </c>
      <c r="G40" s="1" t="s">
        <v>371</v>
      </c>
      <c r="H40" s="1" t="b">
        <f>TRUE()</f>
        <v>1</v>
      </c>
      <c r="I40" s="1">
        <v>180</v>
      </c>
      <c r="J40" s="1" t="s">
        <v>208</v>
      </c>
      <c r="K40" s="1">
        <v>0</v>
      </c>
      <c r="L40" s="1">
        <v>900</v>
      </c>
      <c r="M40" s="1">
        <v>650</v>
      </c>
      <c r="N40" s="1" t="s">
        <v>66</v>
      </c>
      <c r="O40" s="1" t="s">
        <v>197</v>
      </c>
      <c r="P40" s="1" t="s">
        <v>319</v>
      </c>
    </row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</sheetData>
  <mergeCells count="18">
    <mergeCell ref="A1:P1"/>
    <mergeCell ref="A5:C6"/>
    <mergeCell ref="D5:F6"/>
    <mergeCell ref="D4:F4"/>
    <mergeCell ref="G5:I6"/>
    <mergeCell ref="A2:P2"/>
    <mergeCell ref="J5:L6"/>
    <mergeCell ref="G4:I4"/>
    <mergeCell ref="J4:L4"/>
    <mergeCell ref="A4:C4"/>
    <mergeCell ref="A10:P10"/>
    <mergeCell ref="M5:P6"/>
    <mergeCell ref="A8:D8"/>
    <mergeCell ref="M4:P4"/>
    <mergeCell ref="E8:H8"/>
    <mergeCell ref="I8:L8"/>
    <mergeCell ref="M8:N8"/>
    <mergeCell ref="O8:P8"/>
  </mergeCells>
  <conditionalFormatting sqref="E11:E5000">
    <cfRule type="expression" dxfId="11" priority="2">
      <formula>E11=1</formula>
    </cfRule>
    <cfRule type="expression" dxfId="10" priority="3">
      <formula>E11=0</formula>
    </cfRule>
  </conditionalFormatting>
  <conditionalFormatting sqref="M11:M5000">
    <cfRule type="colorScale" priority="4">
      <colorScale>
        <cfvo type="min"/>
        <cfvo type="max"/>
        <color rgb="FFE2EFDA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57"/>
  <sheetViews>
    <sheetView showGridLines="0" zoomScaleNormal="100" workbookViewId="0">
      <pane ySplit="4" topLeftCell="A19" activePane="bottomLeft" state="frozen"/>
      <selection pane="bottomLeft"/>
    </sheetView>
  </sheetViews>
  <sheetFormatPr baseColWidth="10" defaultColWidth="8.6640625" defaultRowHeight="14.4" x14ac:dyDescent="0.3"/>
  <cols>
    <col min="1" max="1" width="10" style="1" customWidth="1"/>
    <col min="2" max="3" width="13" style="1" customWidth="1"/>
    <col min="4" max="4" width="32" style="1" customWidth="1"/>
    <col min="5" max="5" width="11" style="1" customWidth="1"/>
    <col min="6" max="7" width="13" style="1" customWidth="1"/>
    <col min="8" max="8" width="14" style="1" customWidth="1"/>
  </cols>
  <sheetData>
    <row r="1" spans="1:8" ht="25.5" customHeight="1" x14ac:dyDescent="0.3">
      <c r="A1" s="176" t="s">
        <v>372</v>
      </c>
      <c r="B1" s="121"/>
      <c r="C1" s="121"/>
      <c r="D1" s="121"/>
      <c r="E1" s="121"/>
      <c r="F1" s="121"/>
      <c r="G1" s="121"/>
      <c r="H1" s="121"/>
    </row>
    <row r="2" spans="1:8" ht="15.75" customHeight="1" x14ac:dyDescent="0.3">
      <c r="A2" s="150" t="s">
        <v>373</v>
      </c>
      <c r="B2" s="121"/>
      <c r="C2" s="121"/>
      <c r="D2" s="121"/>
      <c r="E2" s="121"/>
      <c r="F2" s="121"/>
      <c r="G2" s="121"/>
      <c r="H2" s="121"/>
    </row>
    <row r="3" spans="1:8" ht="30" customHeight="1" x14ac:dyDescent="0.3">
      <c r="A3" s="16" t="s">
        <v>374</v>
      </c>
      <c r="B3" s="16" t="s">
        <v>303</v>
      </c>
      <c r="C3" s="16" t="s">
        <v>375</v>
      </c>
      <c r="D3" s="16" t="s">
        <v>376</v>
      </c>
      <c r="E3" s="16" t="s">
        <v>377</v>
      </c>
      <c r="F3" s="16" t="s">
        <v>378</v>
      </c>
      <c r="G3" s="16" t="s">
        <v>379</v>
      </c>
      <c r="H3" s="16" t="s">
        <v>380</v>
      </c>
    </row>
    <row r="4" spans="1:8" ht="15.75" customHeight="1" x14ac:dyDescent="0.3">
      <c r="A4" s="169" t="s">
        <v>381</v>
      </c>
      <c r="B4" s="125"/>
      <c r="C4" s="125"/>
      <c r="D4" s="125"/>
      <c r="E4" s="125"/>
      <c r="F4" s="125"/>
      <c r="G4" s="125"/>
      <c r="H4" s="125"/>
    </row>
    <row r="5" spans="1:8" ht="19.5" customHeight="1" x14ac:dyDescent="0.3">
      <c r="A5" s="7">
        <v>1</v>
      </c>
      <c r="B5" s="60" t="s">
        <v>316</v>
      </c>
      <c r="C5" s="7" t="s">
        <v>382</v>
      </c>
      <c r="D5" s="8" t="s">
        <v>383</v>
      </c>
      <c r="E5" s="7">
        <v>2</v>
      </c>
      <c r="F5" s="10">
        <v>15</v>
      </c>
      <c r="G5" s="64">
        <f t="shared" ref="G5:G36" si="0">E5*F5</f>
        <v>30</v>
      </c>
      <c r="H5" s="61" t="s">
        <v>384</v>
      </c>
    </row>
    <row r="6" spans="1:8" ht="19.5" customHeight="1" x14ac:dyDescent="0.3">
      <c r="A6" s="11">
        <v>1</v>
      </c>
      <c r="B6" s="62" t="s">
        <v>316</v>
      </c>
      <c r="C6" s="11" t="s">
        <v>385</v>
      </c>
      <c r="D6" s="12" t="s">
        <v>386</v>
      </c>
      <c r="E6" s="11">
        <v>1</v>
      </c>
      <c r="F6" s="14">
        <v>12</v>
      </c>
      <c r="G6" s="65">
        <f t="shared" si="0"/>
        <v>12</v>
      </c>
      <c r="H6" s="63" t="s">
        <v>384</v>
      </c>
    </row>
    <row r="7" spans="1:8" ht="19.5" customHeight="1" x14ac:dyDescent="0.3">
      <c r="A7" s="7">
        <v>2</v>
      </c>
      <c r="B7" s="60" t="s">
        <v>121</v>
      </c>
      <c r="C7" s="7" t="s">
        <v>387</v>
      </c>
      <c r="D7" s="8" t="s">
        <v>388</v>
      </c>
      <c r="E7" s="7">
        <v>1</v>
      </c>
      <c r="F7" s="10">
        <v>22</v>
      </c>
      <c r="G7" s="64">
        <f t="shared" si="0"/>
        <v>22</v>
      </c>
      <c r="H7" s="61" t="s">
        <v>389</v>
      </c>
    </row>
    <row r="8" spans="1:8" ht="19.5" customHeight="1" x14ac:dyDescent="0.3">
      <c r="A8" s="11">
        <v>2</v>
      </c>
      <c r="B8" s="62" t="s">
        <v>121</v>
      </c>
      <c r="C8" s="11" t="s">
        <v>390</v>
      </c>
      <c r="D8" s="12" t="s">
        <v>391</v>
      </c>
      <c r="E8" s="11">
        <v>1</v>
      </c>
      <c r="F8" s="14">
        <v>65</v>
      </c>
      <c r="G8" s="65">
        <f t="shared" si="0"/>
        <v>65</v>
      </c>
      <c r="H8" s="63" t="s">
        <v>384</v>
      </c>
    </row>
    <row r="9" spans="1:8" ht="14.25" customHeight="1" x14ac:dyDescent="0.3">
      <c r="A9" s="1">
        <v>3</v>
      </c>
      <c r="B9" s="1" t="s">
        <v>138</v>
      </c>
      <c r="C9" s="1" t="s">
        <v>392</v>
      </c>
      <c r="D9" s="1" t="s">
        <v>393</v>
      </c>
      <c r="E9" s="1">
        <v>1</v>
      </c>
      <c r="F9" s="1">
        <v>25</v>
      </c>
      <c r="G9" s="1">
        <f t="shared" si="0"/>
        <v>25</v>
      </c>
      <c r="H9" s="1" t="s">
        <v>384</v>
      </c>
    </row>
    <row r="10" spans="1:8" ht="15" customHeight="1" x14ac:dyDescent="0.3">
      <c r="A10" s="175">
        <v>3</v>
      </c>
      <c r="B10" s="125"/>
      <c r="C10" s="125"/>
      <c r="D10" s="125"/>
      <c r="E10" s="125"/>
      <c r="F10" s="125"/>
      <c r="G10" s="67">
        <f t="shared" si="0"/>
        <v>0</v>
      </c>
      <c r="H10" s="1" t="s">
        <v>384</v>
      </c>
    </row>
    <row r="11" spans="1:8" ht="14.25" customHeight="1" x14ac:dyDescent="0.3">
      <c r="A11" s="1">
        <v>4</v>
      </c>
      <c r="B11" s="1" t="s">
        <v>152</v>
      </c>
      <c r="C11" s="1" t="s">
        <v>394</v>
      </c>
      <c r="D11" s="1" t="s">
        <v>395</v>
      </c>
      <c r="E11" s="1">
        <v>3</v>
      </c>
      <c r="F11" s="1">
        <v>2.5</v>
      </c>
      <c r="G11" s="1">
        <f t="shared" si="0"/>
        <v>7.5</v>
      </c>
      <c r="H11" s="1" t="s">
        <v>384</v>
      </c>
    </row>
    <row r="12" spans="1:8" ht="14.25" customHeight="1" x14ac:dyDescent="0.3">
      <c r="A12" s="1">
        <v>4</v>
      </c>
      <c r="B12" s="1" t="s">
        <v>152</v>
      </c>
      <c r="C12" s="1" t="s">
        <v>396</v>
      </c>
      <c r="D12" s="1" t="s">
        <v>397</v>
      </c>
      <c r="E12" s="1">
        <v>5</v>
      </c>
      <c r="F12" s="1">
        <v>1.8</v>
      </c>
      <c r="G12" s="1">
        <f t="shared" si="0"/>
        <v>9</v>
      </c>
      <c r="H12" s="1" t="s">
        <v>384</v>
      </c>
    </row>
    <row r="13" spans="1:8" ht="14.25" customHeight="1" x14ac:dyDescent="0.3">
      <c r="A13" s="1">
        <v>5</v>
      </c>
      <c r="B13" s="1" t="s">
        <v>130</v>
      </c>
      <c r="C13" s="1" t="s">
        <v>398</v>
      </c>
      <c r="D13" s="1" t="s">
        <v>399</v>
      </c>
      <c r="E13" s="1">
        <v>4</v>
      </c>
      <c r="F13" s="1">
        <v>45</v>
      </c>
      <c r="G13" s="1">
        <f t="shared" si="0"/>
        <v>180</v>
      </c>
      <c r="H13" s="1" t="s">
        <v>384</v>
      </c>
    </row>
    <row r="14" spans="1:8" ht="14.25" customHeight="1" x14ac:dyDescent="0.3">
      <c r="A14" s="1">
        <v>5</v>
      </c>
      <c r="B14" s="1" t="s">
        <v>130</v>
      </c>
      <c r="C14" s="1" t="s">
        <v>400</v>
      </c>
      <c r="D14" s="1" t="s">
        <v>401</v>
      </c>
      <c r="E14" s="1">
        <v>8</v>
      </c>
      <c r="F14" s="1">
        <v>0.85</v>
      </c>
      <c r="G14" s="1">
        <f t="shared" si="0"/>
        <v>6.8</v>
      </c>
      <c r="H14" s="1" t="s">
        <v>384</v>
      </c>
    </row>
    <row r="15" spans="1:8" ht="14.25" customHeight="1" x14ac:dyDescent="0.3">
      <c r="A15" s="1">
        <v>6</v>
      </c>
      <c r="B15" s="1" t="s">
        <v>328</v>
      </c>
      <c r="C15" s="1" t="s">
        <v>396</v>
      </c>
      <c r="D15" s="1" t="s">
        <v>397</v>
      </c>
      <c r="E15" s="1">
        <v>3</v>
      </c>
      <c r="F15" s="1">
        <v>1.8</v>
      </c>
      <c r="G15" s="1">
        <f t="shared" si="0"/>
        <v>5.4</v>
      </c>
      <c r="H15" s="1" t="s">
        <v>384</v>
      </c>
    </row>
    <row r="16" spans="1:8" ht="14.25" customHeight="1" x14ac:dyDescent="0.3">
      <c r="A16" s="1">
        <v>6</v>
      </c>
      <c r="B16" s="1" t="s">
        <v>328</v>
      </c>
      <c r="C16" s="1" t="s">
        <v>394</v>
      </c>
      <c r="D16" s="1" t="s">
        <v>395</v>
      </c>
      <c r="E16" s="1">
        <v>4</v>
      </c>
      <c r="F16" s="1">
        <v>2.5</v>
      </c>
      <c r="G16" s="1">
        <f t="shared" si="0"/>
        <v>10</v>
      </c>
      <c r="H16" s="1" t="s">
        <v>384</v>
      </c>
    </row>
    <row r="17" spans="1:8" ht="14.25" customHeight="1" x14ac:dyDescent="0.3">
      <c r="A17" s="1">
        <v>7</v>
      </c>
      <c r="B17" s="1" t="s">
        <v>330</v>
      </c>
      <c r="C17" s="1" t="s">
        <v>390</v>
      </c>
      <c r="D17" s="1" t="s">
        <v>391</v>
      </c>
      <c r="E17" s="1">
        <v>1</v>
      </c>
      <c r="F17" s="1">
        <v>65</v>
      </c>
      <c r="G17" s="1">
        <f t="shared" si="0"/>
        <v>65</v>
      </c>
      <c r="H17" s="1" t="s">
        <v>384</v>
      </c>
    </row>
    <row r="18" spans="1:8" ht="14.25" customHeight="1" x14ac:dyDescent="0.3">
      <c r="A18" s="1">
        <v>7</v>
      </c>
      <c r="B18" s="1" t="s">
        <v>330</v>
      </c>
      <c r="C18" s="1" t="s">
        <v>387</v>
      </c>
      <c r="D18" s="1" t="s">
        <v>388</v>
      </c>
      <c r="E18" s="1">
        <v>1</v>
      </c>
      <c r="F18" s="1">
        <v>22</v>
      </c>
      <c r="G18" s="1">
        <f t="shared" si="0"/>
        <v>22</v>
      </c>
      <c r="H18" s="1" t="s">
        <v>389</v>
      </c>
    </row>
    <row r="19" spans="1:8" ht="14.25" customHeight="1" x14ac:dyDescent="0.3">
      <c r="A19" s="1">
        <v>8</v>
      </c>
      <c r="B19" s="1" t="s">
        <v>332</v>
      </c>
      <c r="C19" s="1" t="s">
        <v>394</v>
      </c>
      <c r="D19" s="1" t="s">
        <v>395</v>
      </c>
      <c r="E19" s="1">
        <v>6</v>
      </c>
      <c r="F19" s="1">
        <v>2.5</v>
      </c>
      <c r="G19" s="1">
        <f t="shared" si="0"/>
        <v>15</v>
      </c>
      <c r="H19" s="1" t="s">
        <v>384</v>
      </c>
    </row>
    <row r="20" spans="1:8" ht="14.25" customHeight="1" x14ac:dyDescent="0.3">
      <c r="A20" s="1">
        <v>8</v>
      </c>
      <c r="B20" s="1" t="s">
        <v>332</v>
      </c>
      <c r="C20" s="1" t="s">
        <v>396</v>
      </c>
      <c r="D20" s="1" t="s">
        <v>397</v>
      </c>
      <c r="E20" s="1">
        <v>8</v>
      </c>
      <c r="F20" s="1">
        <v>1.8</v>
      </c>
      <c r="G20" s="1">
        <f t="shared" si="0"/>
        <v>14.4</v>
      </c>
      <c r="H20" s="1" t="s">
        <v>384</v>
      </c>
    </row>
    <row r="21" spans="1:8" ht="14.25" customHeight="1" x14ac:dyDescent="0.3">
      <c r="A21" s="1">
        <v>9</v>
      </c>
      <c r="B21" s="1" t="s">
        <v>334</v>
      </c>
      <c r="C21" s="1" t="s">
        <v>400</v>
      </c>
      <c r="D21" s="1" t="s">
        <v>401</v>
      </c>
      <c r="E21" s="1">
        <v>10</v>
      </c>
      <c r="F21" s="1">
        <v>0.85</v>
      </c>
      <c r="G21" s="1">
        <f t="shared" si="0"/>
        <v>8.5</v>
      </c>
      <c r="H21" s="1" t="s">
        <v>384</v>
      </c>
    </row>
    <row r="22" spans="1:8" ht="14.25" customHeight="1" x14ac:dyDescent="0.3">
      <c r="A22" s="1">
        <v>10</v>
      </c>
      <c r="B22" s="1" t="s">
        <v>191</v>
      </c>
      <c r="C22" s="1" t="s">
        <v>387</v>
      </c>
      <c r="D22" s="1" t="s">
        <v>388</v>
      </c>
      <c r="E22" s="1">
        <v>4</v>
      </c>
      <c r="F22" s="1">
        <v>22</v>
      </c>
      <c r="G22" s="1">
        <f t="shared" si="0"/>
        <v>88</v>
      </c>
      <c r="H22" s="1" t="s">
        <v>389</v>
      </c>
    </row>
    <row r="23" spans="1:8" ht="14.25" customHeight="1" x14ac:dyDescent="0.3">
      <c r="A23" s="1">
        <v>10</v>
      </c>
      <c r="B23" s="1" t="s">
        <v>191</v>
      </c>
      <c r="C23" s="1" t="s">
        <v>390</v>
      </c>
      <c r="D23" s="1" t="s">
        <v>391</v>
      </c>
      <c r="E23" s="1">
        <v>2</v>
      </c>
      <c r="F23" s="1">
        <v>65</v>
      </c>
      <c r="G23" s="1">
        <f t="shared" si="0"/>
        <v>130</v>
      </c>
      <c r="H23" s="1" t="s">
        <v>384</v>
      </c>
    </row>
    <row r="24" spans="1:8" ht="14.25" customHeight="1" x14ac:dyDescent="0.3">
      <c r="A24" s="1">
        <v>10</v>
      </c>
      <c r="B24" s="1" t="s">
        <v>191</v>
      </c>
      <c r="C24" s="1" t="s">
        <v>398</v>
      </c>
      <c r="D24" s="1" t="s">
        <v>399</v>
      </c>
      <c r="E24" s="1">
        <v>2</v>
      </c>
      <c r="F24" s="1">
        <v>45</v>
      </c>
      <c r="G24" s="1">
        <f t="shared" si="0"/>
        <v>90</v>
      </c>
      <c r="H24" s="1" t="s">
        <v>384</v>
      </c>
    </row>
    <row r="25" spans="1:8" ht="14.25" customHeight="1" x14ac:dyDescent="0.3">
      <c r="A25" s="1">
        <v>11</v>
      </c>
      <c r="B25" s="1" t="s">
        <v>338</v>
      </c>
      <c r="C25" s="1" t="s">
        <v>385</v>
      </c>
      <c r="D25" s="1" t="s">
        <v>386</v>
      </c>
      <c r="E25" s="1">
        <v>1</v>
      </c>
      <c r="F25" s="1">
        <v>12</v>
      </c>
      <c r="G25" s="1">
        <f t="shared" si="0"/>
        <v>12</v>
      </c>
      <c r="H25" s="1" t="s">
        <v>384</v>
      </c>
    </row>
    <row r="26" spans="1:8" ht="14.25" customHeight="1" x14ac:dyDescent="0.3">
      <c r="A26" s="1">
        <v>12</v>
      </c>
      <c r="B26" s="1" t="s">
        <v>340</v>
      </c>
      <c r="C26" s="1" t="s">
        <v>390</v>
      </c>
      <c r="D26" s="1" t="s">
        <v>391</v>
      </c>
      <c r="E26" s="1">
        <v>1</v>
      </c>
      <c r="F26" s="1">
        <v>65</v>
      </c>
      <c r="G26" s="1">
        <f t="shared" si="0"/>
        <v>65</v>
      </c>
      <c r="H26" s="1" t="s">
        <v>384</v>
      </c>
    </row>
    <row r="27" spans="1:8" ht="14.25" customHeight="1" x14ac:dyDescent="0.3">
      <c r="A27" s="1">
        <v>12</v>
      </c>
      <c r="B27" s="1" t="s">
        <v>340</v>
      </c>
      <c r="C27" s="1" t="s">
        <v>387</v>
      </c>
      <c r="D27" s="1" t="s">
        <v>388</v>
      </c>
      <c r="E27" s="1">
        <v>1</v>
      </c>
      <c r="F27" s="1">
        <v>22</v>
      </c>
      <c r="G27" s="1">
        <f t="shared" si="0"/>
        <v>22</v>
      </c>
      <c r="H27" s="1" t="s">
        <v>389</v>
      </c>
    </row>
    <row r="28" spans="1:8" ht="14.25" customHeight="1" x14ac:dyDescent="0.3">
      <c r="A28" s="1">
        <v>13</v>
      </c>
      <c r="B28" s="1" t="s">
        <v>143</v>
      </c>
      <c r="C28" s="1" t="s">
        <v>382</v>
      </c>
      <c r="D28" s="1" t="s">
        <v>383</v>
      </c>
      <c r="E28" s="1">
        <v>2</v>
      </c>
      <c r="F28" s="1">
        <v>15</v>
      </c>
      <c r="G28" s="1">
        <f t="shared" si="0"/>
        <v>30</v>
      </c>
      <c r="H28" s="1" t="s">
        <v>384</v>
      </c>
    </row>
    <row r="29" spans="1:8" ht="14.25" customHeight="1" x14ac:dyDescent="0.3">
      <c r="A29" s="1">
        <v>13</v>
      </c>
      <c r="B29" s="1" t="s">
        <v>143</v>
      </c>
      <c r="C29" s="1" t="s">
        <v>385</v>
      </c>
      <c r="D29" s="1" t="s">
        <v>386</v>
      </c>
      <c r="E29" s="1">
        <v>1</v>
      </c>
      <c r="F29" s="1">
        <v>12</v>
      </c>
      <c r="G29" s="1">
        <f t="shared" si="0"/>
        <v>12</v>
      </c>
      <c r="H29" s="1" t="s">
        <v>384</v>
      </c>
    </row>
    <row r="30" spans="1:8" ht="14.25" customHeight="1" x14ac:dyDescent="0.3">
      <c r="A30" s="1">
        <v>14</v>
      </c>
      <c r="B30" s="1" t="s">
        <v>343</v>
      </c>
      <c r="C30" s="1" t="s">
        <v>382</v>
      </c>
      <c r="D30" s="1" t="s">
        <v>383</v>
      </c>
      <c r="E30" s="1">
        <v>2</v>
      </c>
      <c r="F30" s="1">
        <v>15</v>
      </c>
      <c r="G30" s="1">
        <f t="shared" si="0"/>
        <v>30</v>
      </c>
      <c r="H30" s="1" t="s">
        <v>384</v>
      </c>
    </row>
    <row r="31" spans="1:8" ht="14.25" customHeight="1" x14ac:dyDescent="0.3">
      <c r="A31" s="1">
        <v>14</v>
      </c>
      <c r="B31" s="1" t="s">
        <v>343</v>
      </c>
      <c r="C31" s="1" t="s">
        <v>392</v>
      </c>
      <c r="D31" s="1" t="s">
        <v>393</v>
      </c>
      <c r="E31" s="1">
        <v>2</v>
      </c>
      <c r="F31" s="1">
        <v>25</v>
      </c>
      <c r="G31" s="1">
        <f t="shared" si="0"/>
        <v>50</v>
      </c>
      <c r="H31" s="1" t="s">
        <v>384</v>
      </c>
    </row>
    <row r="32" spans="1:8" ht="14.25" customHeight="1" x14ac:dyDescent="0.3">
      <c r="A32" s="1">
        <v>15</v>
      </c>
      <c r="B32" s="1" t="s">
        <v>195</v>
      </c>
      <c r="C32" s="1" t="s">
        <v>398</v>
      </c>
      <c r="D32" s="1" t="s">
        <v>399</v>
      </c>
      <c r="E32" s="1">
        <v>2</v>
      </c>
      <c r="F32" s="1">
        <v>45</v>
      </c>
      <c r="G32" s="1">
        <f t="shared" si="0"/>
        <v>90</v>
      </c>
      <c r="H32" s="1" t="s">
        <v>384</v>
      </c>
    </row>
    <row r="33" spans="1:8" ht="14.25" customHeight="1" x14ac:dyDescent="0.3">
      <c r="A33" s="1">
        <v>15</v>
      </c>
      <c r="B33" s="1" t="s">
        <v>195</v>
      </c>
      <c r="C33" s="1" t="s">
        <v>400</v>
      </c>
      <c r="D33" s="1" t="s">
        <v>401</v>
      </c>
      <c r="E33" s="1">
        <v>20</v>
      </c>
      <c r="F33" s="1">
        <v>0.85</v>
      </c>
      <c r="G33" s="1">
        <f t="shared" si="0"/>
        <v>17</v>
      </c>
      <c r="H33" s="1" t="s">
        <v>384</v>
      </c>
    </row>
    <row r="34" spans="1:8" ht="14.25" customHeight="1" x14ac:dyDescent="0.3">
      <c r="A34" s="1">
        <v>16</v>
      </c>
      <c r="B34" s="1" t="s">
        <v>346</v>
      </c>
      <c r="C34" s="1" t="s">
        <v>392</v>
      </c>
      <c r="D34" s="1" t="s">
        <v>393</v>
      </c>
      <c r="E34" s="1">
        <v>1</v>
      </c>
      <c r="F34" s="1">
        <v>25</v>
      </c>
      <c r="G34" s="1">
        <f t="shared" si="0"/>
        <v>25</v>
      </c>
      <c r="H34" s="1" t="s">
        <v>384</v>
      </c>
    </row>
    <row r="35" spans="1:8" ht="14.25" customHeight="1" x14ac:dyDescent="0.3">
      <c r="A35" s="1">
        <v>17</v>
      </c>
      <c r="B35" s="1" t="s">
        <v>348</v>
      </c>
      <c r="C35" s="1" t="s">
        <v>402</v>
      </c>
      <c r="D35" s="1" t="s">
        <v>403</v>
      </c>
      <c r="E35" s="1">
        <v>2</v>
      </c>
      <c r="F35" s="1">
        <v>18</v>
      </c>
      <c r="G35" s="1">
        <f t="shared" si="0"/>
        <v>36</v>
      </c>
      <c r="H35" s="1" t="s">
        <v>384</v>
      </c>
    </row>
    <row r="36" spans="1:8" ht="14.25" customHeight="1" x14ac:dyDescent="0.3">
      <c r="A36" s="1">
        <v>17</v>
      </c>
      <c r="B36" s="1" t="s">
        <v>348</v>
      </c>
      <c r="C36" s="1" t="s">
        <v>400</v>
      </c>
      <c r="D36" s="1" t="s">
        <v>401</v>
      </c>
      <c r="E36" s="1">
        <v>6</v>
      </c>
      <c r="F36" s="1">
        <v>0.85</v>
      </c>
      <c r="G36" s="1">
        <f t="shared" si="0"/>
        <v>5.0999999999999996</v>
      </c>
      <c r="H36" s="1" t="s">
        <v>384</v>
      </c>
    </row>
    <row r="37" spans="1:8" ht="14.25" customHeight="1" x14ac:dyDescent="0.3">
      <c r="A37" s="1">
        <v>18</v>
      </c>
      <c r="B37" s="1" t="s">
        <v>200</v>
      </c>
      <c r="C37" s="1" t="s">
        <v>394</v>
      </c>
      <c r="D37" s="1" t="s">
        <v>395</v>
      </c>
      <c r="E37" s="1">
        <v>8</v>
      </c>
      <c r="F37" s="1">
        <v>2.5</v>
      </c>
      <c r="G37" s="1">
        <f t="shared" ref="G37:G68" si="1">E37*F37</f>
        <v>20</v>
      </c>
      <c r="H37" s="1" t="s">
        <v>384</v>
      </c>
    </row>
    <row r="38" spans="1:8" ht="14.25" customHeight="1" x14ac:dyDescent="0.3">
      <c r="A38" s="1">
        <v>18</v>
      </c>
      <c r="B38" s="1" t="s">
        <v>200</v>
      </c>
      <c r="C38" s="1" t="s">
        <v>396</v>
      </c>
      <c r="D38" s="1" t="s">
        <v>397</v>
      </c>
      <c r="E38" s="1">
        <v>12</v>
      </c>
      <c r="F38" s="1">
        <v>1.8</v>
      </c>
      <c r="G38" s="1">
        <f t="shared" si="1"/>
        <v>21.6</v>
      </c>
      <c r="H38" s="1" t="s">
        <v>384</v>
      </c>
    </row>
    <row r="39" spans="1:8" ht="14.25" customHeight="1" x14ac:dyDescent="0.3">
      <c r="A39" s="1">
        <v>19</v>
      </c>
      <c r="B39" s="1" t="s">
        <v>351</v>
      </c>
      <c r="C39" s="1" t="s">
        <v>385</v>
      </c>
      <c r="D39" s="1" t="s">
        <v>386</v>
      </c>
      <c r="E39" s="1">
        <v>1</v>
      </c>
      <c r="F39" s="1">
        <v>12</v>
      </c>
      <c r="G39" s="1">
        <f t="shared" si="1"/>
        <v>12</v>
      </c>
      <c r="H39" s="1" t="s">
        <v>384</v>
      </c>
    </row>
    <row r="40" spans="1:8" ht="14.25" customHeight="1" x14ac:dyDescent="0.3">
      <c r="A40" s="1">
        <v>20</v>
      </c>
      <c r="B40" s="1" t="s">
        <v>123</v>
      </c>
      <c r="C40" s="1" t="s">
        <v>402</v>
      </c>
      <c r="D40" s="1" t="s">
        <v>403</v>
      </c>
      <c r="E40" s="1">
        <v>1</v>
      </c>
      <c r="F40" s="1">
        <v>18</v>
      </c>
      <c r="G40" s="1">
        <f t="shared" si="1"/>
        <v>18</v>
      </c>
      <c r="H40" s="1" t="s">
        <v>384</v>
      </c>
    </row>
    <row r="41" spans="1:8" ht="14.25" customHeight="1" x14ac:dyDescent="0.3">
      <c r="A41" s="1">
        <v>20</v>
      </c>
      <c r="B41" s="1" t="s">
        <v>123</v>
      </c>
      <c r="C41" s="1" t="s">
        <v>400</v>
      </c>
      <c r="D41" s="1" t="s">
        <v>401</v>
      </c>
      <c r="E41" s="1">
        <v>5</v>
      </c>
      <c r="F41" s="1">
        <v>0.85</v>
      </c>
      <c r="G41" s="1">
        <f t="shared" si="1"/>
        <v>4.25</v>
      </c>
      <c r="H41" s="1" t="s">
        <v>384</v>
      </c>
    </row>
    <row r="42" spans="1:8" ht="14.25" customHeight="1" x14ac:dyDescent="0.3">
      <c r="A42" s="1">
        <v>21</v>
      </c>
      <c r="B42" s="1" t="s">
        <v>354</v>
      </c>
      <c r="C42" s="1" t="s">
        <v>382</v>
      </c>
      <c r="D42" s="1" t="s">
        <v>383</v>
      </c>
      <c r="E42" s="1">
        <v>3</v>
      </c>
      <c r="F42" s="1">
        <v>15</v>
      </c>
      <c r="G42" s="1">
        <f t="shared" si="1"/>
        <v>45</v>
      </c>
      <c r="H42" s="1" t="s">
        <v>384</v>
      </c>
    </row>
    <row r="43" spans="1:8" ht="14.25" customHeight="1" x14ac:dyDescent="0.3">
      <c r="A43" s="1">
        <v>21</v>
      </c>
      <c r="B43" s="1" t="s">
        <v>354</v>
      </c>
      <c r="C43" s="1" t="s">
        <v>392</v>
      </c>
      <c r="D43" s="1" t="s">
        <v>393</v>
      </c>
      <c r="E43" s="1">
        <v>1</v>
      </c>
      <c r="F43" s="1">
        <v>25</v>
      </c>
      <c r="G43" s="1">
        <f t="shared" si="1"/>
        <v>25</v>
      </c>
      <c r="H43" s="1" t="s">
        <v>384</v>
      </c>
    </row>
    <row r="44" spans="1:8" ht="14.25" customHeight="1" x14ac:dyDescent="0.3">
      <c r="A44" s="1">
        <v>22</v>
      </c>
      <c r="B44" s="1" t="s">
        <v>203</v>
      </c>
      <c r="C44" s="1" t="s">
        <v>390</v>
      </c>
      <c r="D44" s="1" t="s">
        <v>391</v>
      </c>
      <c r="E44" s="1">
        <v>2</v>
      </c>
      <c r="F44" s="1">
        <v>65</v>
      </c>
      <c r="G44" s="1">
        <f t="shared" si="1"/>
        <v>130</v>
      </c>
      <c r="H44" s="1" t="s">
        <v>384</v>
      </c>
    </row>
    <row r="45" spans="1:8" ht="14.25" customHeight="1" x14ac:dyDescent="0.3">
      <c r="A45" s="1">
        <v>22</v>
      </c>
      <c r="B45" s="1" t="s">
        <v>203</v>
      </c>
      <c r="C45" s="1" t="s">
        <v>398</v>
      </c>
      <c r="D45" s="1" t="s">
        <v>399</v>
      </c>
      <c r="E45" s="1">
        <v>1</v>
      </c>
      <c r="F45" s="1">
        <v>45</v>
      </c>
      <c r="G45" s="1">
        <f t="shared" si="1"/>
        <v>45</v>
      </c>
      <c r="H45" s="1" t="s">
        <v>384</v>
      </c>
    </row>
    <row r="46" spans="1:8" ht="14.25" customHeight="1" x14ac:dyDescent="0.3">
      <c r="A46" s="1">
        <v>23</v>
      </c>
      <c r="B46" s="1" t="s">
        <v>357</v>
      </c>
      <c r="C46" s="1" t="s">
        <v>396</v>
      </c>
      <c r="D46" s="1" t="s">
        <v>397</v>
      </c>
      <c r="E46" s="1">
        <v>5</v>
      </c>
      <c r="F46" s="1">
        <v>1.8</v>
      </c>
      <c r="G46" s="1">
        <f t="shared" si="1"/>
        <v>9</v>
      </c>
      <c r="H46" s="1" t="s">
        <v>384</v>
      </c>
    </row>
    <row r="47" spans="1:8" ht="14.25" customHeight="1" x14ac:dyDescent="0.3">
      <c r="A47" s="1">
        <v>24</v>
      </c>
      <c r="B47" s="1" t="s">
        <v>359</v>
      </c>
      <c r="C47" s="1" t="s">
        <v>392</v>
      </c>
      <c r="D47" s="1" t="s">
        <v>393</v>
      </c>
      <c r="E47" s="1">
        <v>1</v>
      </c>
      <c r="F47" s="1">
        <v>25</v>
      </c>
      <c r="G47" s="1">
        <f t="shared" si="1"/>
        <v>25</v>
      </c>
      <c r="H47" s="1" t="s">
        <v>384</v>
      </c>
    </row>
    <row r="48" spans="1:8" ht="14.25" customHeight="1" x14ac:dyDescent="0.3">
      <c r="A48" s="1">
        <v>25</v>
      </c>
      <c r="B48" s="1" t="s">
        <v>361</v>
      </c>
      <c r="C48" s="1" t="s">
        <v>387</v>
      </c>
      <c r="D48" s="1" t="s">
        <v>388</v>
      </c>
      <c r="E48" s="1">
        <v>2</v>
      </c>
      <c r="F48" s="1">
        <v>22</v>
      </c>
      <c r="G48" s="1">
        <f t="shared" si="1"/>
        <v>44</v>
      </c>
      <c r="H48" s="1" t="s">
        <v>389</v>
      </c>
    </row>
    <row r="49" spans="1:8" ht="14.25" customHeight="1" x14ac:dyDescent="0.3">
      <c r="A49" s="1">
        <v>25</v>
      </c>
      <c r="B49" s="1" t="s">
        <v>361</v>
      </c>
      <c r="C49" s="1" t="s">
        <v>390</v>
      </c>
      <c r="D49" s="1" t="s">
        <v>391</v>
      </c>
      <c r="E49" s="1">
        <v>1</v>
      </c>
      <c r="F49" s="1">
        <v>65</v>
      </c>
      <c r="G49" s="1">
        <f t="shared" si="1"/>
        <v>65</v>
      </c>
      <c r="H49" s="1" t="s">
        <v>384</v>
      </c>
    </row>
    <row r="50" spans="1:8" ht="14.25" customHeight="1" x14ac:dyDescent="0.3">
      <c r="A50" s="1">
        <v>26</v>
      </c>
      <c r="B50" s="1" t="s">
        <v>363</v>
      </c>
      <c r="C50" s="1" t="s">
        <v>394</v>
      </c>
      <c r="D50" s="1" t="s">
        <v>395</v>
      </c>
      <c r="E50" s="1">
        <v>3</v>
      </c>
      <c r="F50" s="1">
        <v>2.5</v>
      </c>
      <c r="G50" s="1">
        <f t="shared" si="1"/>
        <v>7.5</v>
      </c>
      <c r="H50" s="1" t="s">
        <v>384</v>
      </c>
    </row>
    <row r="51" spans="1:8" ht="14.25" customHeight="1" x14ac:dyDescent="0.3">
      <c r="A51" s="1">
        <v>26</v>
      </c>
      <c r="B51" s="1" t="s">
        <v>363</v>
      </c>
      <c r="C51" s="1" t="s">
        <v>396</v>
      </c>
      <c r="D51" s="1" t="s">
        <v>397</v>
      </c>
      <c r="E51" s="1">
        <v>4</v>
      </c>
      <c r="F51" s="1">
        <v>1.8</v>
      </c>
      <c r="G51" s="1">
        <f t="shared" si="1"/>
        <v>7.2</v>
      </c>
      <c r="H51" s="1" t="s">
        <v>384</v>
      </c>
    </row>
    <row r="52" spans="1:8" ht="14.25" customHeight="1" x14ac:dyDescent="0.3">
      <c r="A52" s="1">
        <v>27</v>
      </c>
      <c r="B52" s="1" t="s">
        <v>365</v>
      </c>
      <c r="C52" s="1" t="s">
        <v>400</v>
      </c>
      <c r="D52" s="1" t="s">
        <v>401</v>
      </c>
      <c r="E52" s="1">
        <v>8</v>
      </c>
      <c r="F52" s="1">
        <v>0.85</v>
      </c>
      <c r="G52" s="1">
        <f t="shared" si="1"/>
        <v>6.8</v>
      </c>
      <c r="H52" s="1" t="s">
        <v>384</v>
      </c>
    </row>
    <row r="53" spans="1:8" ht="14.25" customHeight="1" x14ac:dyDescent="0.3">
      <c r="A53" s="1">
        <v>28</v>
      </c>
      <c r="B53" s="1" t="s">
        <v>367</v>
      </c>
      <c r="C53" s="1" t="s">
        <v>387</v>
      </c>
      <c r="D53" s="1" t="s">
        <v>388</v>
      </c>
      <c r="E53" s="1">
        <v>1</v>
      </c>
      <c r="F53" s="1">
        <v>22</v>
      </c>
      <c r="G53" s="1">
        <f t="shared" si="1"/>
        <v>22</v>
      </c>
      <c r="H53" s="1" t="s">
        <v>389</v>
      </c>
    </row>
    <row r="54" spans="1:8" ht="14.25" customHeight="1" x14ac:dyDescent="0.3">
      <c r="A54" s="1">
        <v>29</v>
      </c>
      <c r="B54" s="1" t="s">
        <v>369</v>
      </c>
      <c r="C54" s="1" t="s">
        <v>396</v>
      </c>
      <c r="D54" s="1" t="s">
        <v>397</v>
      </c>
      <c r="E54" s="1">
        <v>4</v>
      </c>
      <c r="F54" s="1">
        <v>1.8</v>
      </c>
      <c r="G54" s="1">
        <f t="shared" si="1"/>
        <v>7.2</v>
      </c>
      <c r="H54" s="1" t="s">
        <v>384</v>
      </c>
    </row>
    <row r="55" spans="1:8" ht="14.25" customHeight="1" x14ac:dyDescent="0.3">
      <c r="A55" s="1">
        <v>30</v>
      </c>
      <c r="B55" s="1" t="s">
        <v>208</v>
      </c>
      <c r="C55" s="1" t="s">
        <v>402</v>
      </c>
      <c r="D55" s="1" t="s">
        <v>403</v>
      </c>
      <c r="E55" s="1">
        <v>2</v>
      </c>
      <c r="F55" s="1">
        <v>18</v>
      </c>
      <c r="G55" s="1">
        <f t="shared" si="1"/>
        <v>36</v>
      </c>
      <c r="H55" s="1" t="s">
        <v>384</v>
      </c>
    </row>
    <row r="56" spans="1:8" ht="14.25" customHeight="1" x14ac:dyDescent="0.3">
      <c r="A56" s="1">
        <v>30</v>
      </c>
      <c r="B56" s="1" t="s">
        <v>208</v>
      </c>
      <c r="C56" s="1" t="s">
        <v>385</v>
      </c>
      <c r="D56" s="1" t="s">
        <v>386</v>
      </c>
      <c r="E56" s="1">
        <v>1</v>
      </c>
      <c r="F56" s="1">
        <v>12</v>
      </c>
      <c r="G56" s="1">
        <f t="shared" si="1"/>
        <v>12</v>
      </c>
      <c r="H56" s="1" t="s">
        <v>384</v>
      </c>
    </row>
    <row r="57" spans="1:8" ht="14.25" customHeight="1" x14ac:dyDescent="0.3">
      <c r="D57" s="1" t="s">
        <v>404</v>
      </c>
      <c r="G57" s="1">
        <f>SUM(G5:G56)</f>
        <v>1762.2499999999998</v>
      </c>
    </row>
  </sheetData>
  <mergeCells count="4">
    <mergeCell ref="A4:H4"/>
    <mergeCell ref="A2:H2"/>
    <mergeCell ref="A10:F10"/>
    <mergeCell ref="A1:H1"/>
  </mergeCells>
  <conditionalFormatting sqref="H5:H9">
    <cfRule type="expression" dxfId="9" priority="2">
      <formula>H5="⚠ BAJO"</formula>
    </cfRule>
    <cfRule type="expression" dxfId="8" priority="3">
      <formula>H5="✔ 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D64"/>
  <sheetViews>
    <sheetView showGridLines="0" zoomScaleNormal="100" workbookViewId="0">
      <pane ySplit="4" topLeftCell="A8" activePane="bottomLeft" state="frozen"/>
      <selection pane="bottomLeft" sqref="A1:D1"/>
    </sheetView>
  </sheetViews>
  <sheetFormatPr baseColWidth="10" defaultColWidth="8.6640625" defaultRowHeight="14.4" x14ac:dyDescent="0.3"/>
  <cols>
    <col min="1" max="1" width="10" style="1" customWidth="1"/>
    <col min="2" max="2" width="14" style="1" customWidth="1"/>
    <col min="3" max="3" width="45" style="1" customWidth="1"/>
    <col min="4" max="4" width="14" style="1" customWidth="1"/>
  </cols>
  <sheetData>
    <row r="1" spans="1:4" ht="25.5" customHeight="1" x14ac:dyDescent="0.3">
      <c r="A1" s="176" t="s">
        <v>405</v>
      </c>
      <c r="B1" s="121"/>
      <c r="C1" s="121"/>
      <c r="D1" s="121"/>
    </row>
    <row r="2" spans="1:4" ht="15.75" customHeight="1" x14ac:dyDescent="0.3">
      <c r="A2" s="150" t="s">
        <v>406</v>
      </c>
      <c r="B2" s="121"/>
      <c r="C2" s="121"/>
      <c r="D2" s="121"/>
    </row>
    <row r="3" spans="1:4" ht="30" customHeight="1" x14ac:dyDescent="0.3">
      <c r="A3" s="16" t="s">
        <v>374</v>
      </c>
      <c r="B3" s="16" t="s">
        <v>407</v>
      </c>
      <c r="C3" s="16" t="s">
        <v>408</v>
      </c>
      <c r="D3" s="16" t="s">
        <v>235</v>
      </c>
    </row>
    <row r="4" spans="1:4" ht="15.75" customHeight="1" x14ac:dyDescent="0.3">
      <c r="A4" s="169" t="s">
        <v>409</v>
      </c>
      <c r="B4" s="125"/>
      <c r="C4" s="125"/>
      <c r="D4" s="125"/>
    </row>
    <row r="5" spans="1:4" ht="19.5" customHeight="1" x14ac:dyDescent="0.3">
      <c r="A5" s="7">
        <v>1</v>
      </c>
      <c r="B5" s="7" t="s">
        <v>410</v>
      </c>
      <c r="C5" s="8" t="s">
        <v>92</v>
      </c>
      <c r="D5" s="61" t="s">
        <v>411</v>
      </c>
    </row>
    <row r="6" spans="1:4" ht="19.5" customHeight="1" x14ac:dyDescent="0.3">
      <c r="A6" s="11">
        <v>1</v>
      </c>
      <c r="B6" s="11" t="s">
        <v>412</v>
      </c>
      <c r="C6" s="12" t="s">
        <v>101</v>
      </c>
      <c r="D6" s="63" t="s">
        <v>411</v>
      </c>
    </row>
    <row r="7" spans="1:4" ht="19.5" customHeight="1" x14ac:dyDescent="0.3">
      <c r="A7" s="7">
        <v>1</v>
      </c>
      <c r="B7" s="7" t="s">
        <v>413</v>
      </c>
      <c r="C7" s="8" t="s">
        <v>414</v>
      </c>
      <c r="D7" s="61" t="s">
        <v>411</v>
      </c>
    </row>
    <row r="8" spans="1:4" ht="19.5" customHeight="1" x14ac:dyDescent="0.3">
      <c r="A8" s="11">
        <v>2</v>
      </c>
      <c r="B8" s="11" t="s">
        <v>415</v>
      </c>
      <c r="C8" s="12" t="s">
        <v>98</v>
      </c>
      <c r="D8" s="63" t="s">
        <v>411</v>
      </c>
    </row>
    <row r="9" spans="1:4" ht="19.5" customHeight="1" x14ac:dyDescent="0.3">
      <c r="A9" s="7">
        <v>2</v>
      </c>
      <c r="B9" s="7" t="s">
        <v>416</v>
      </c>
      <c r="C9" s="8" t="s">
        <v>417</v>
      </c>
      <c r="D9" s="61" t="s">
        <v>411</v>
      </c>
    </row>
    <row r="10" spans="1:4" ht="14.25" customHeight="1" x14ac:dyDescent="0.3">
      <c r="A10" s="1">
        <v>3</v>
      </c>
      <c r="B10" s="1" t="s">
        <v>418</v>
      </c>
      <c r="C10" s="1" t="s">
        <v>102</v>
      </c>
      <c r="D10" s="1" t="s">
        <v>411</v>
      </c>
    </row>
    <row r="11" spans="1:4" ht="14.25" customHeight="1" x14ac:dyDescent="0.3">
      <c r="A11" s="1">
        <v>3</v>
      </c>
      <c r="B11" s="1" t="s">
        <v>410</v>
      </c>
      <c r="C11" s="1" t="s">
        <v>92</v>
      </c>
      <c r="D11" s="1" t="s">
        <v>411</v>
      </c>
    </row>
    <row r="12" spans="1:4" ht="14.25" customHeight="1" x14ac:dyDescent="0.3">
      <c r="A12" s="1">
        <v>4</v>
      </c>
      <c r="B12" s="1" t="s">
        <v>419</v>
      </c>
      <c r="C12" s="1" t="s">
        <v>106</v>
      </c>
      <c r="D12" s="1" t="s">
        <v>411</v>
      </c>
    </row>
    <row r="13" spans="1:4" ht="14.25" customHeight="1" x14ac:dyDescent="0.3">
      <c r="A13" s="1">
        <v>4</v>
      </c>
      <c r="B13" s="1" t="s">
        <v>420</v>
      </c>
      <c r="C13" s="1" t="s">
        <v>95</v>
      </c>
      <c r="D13" s="1" t="s">
        <v>411</v>
      </c>
    </row>
    <row r="14" spans="1:4" ht="14.25" customHeight="1" x14ac:dyDescent="0.3">
      <c r="A14" s="1">
        <v>4</v>
      </c>
      <c r="B14" s="1" t="s">
        <v>421</v>
      </c>
      <c r="C14" s="1" t="s">
        <v>422</v>
      </c>
      <c r="D14" s="1" t="s">
        <v>411</v>
      </c>
    </row>
    <row r="15" spans="1:4" ht="14.25" customHeight="1" x14ac:dyDescent="0.3">
      <c r="A15" s="1">
        <v>5</v>
      </c>
      <c r="B15" s="1" t="s">
        <v>423</v>
      </c>
      <c r="C15" s="1" t="s">
        <v>424</v>
      </c>
      <c r="D15" s="1" t="s">
        <v>425</v>
      </c>
    </row>
    <row r="16" spans="1:4" ht="14.25" customHeight="1" x14ac:dyDescent="0.3">
      <c r="A16" s="1">
        <v>5</v>
      </c>
      <c r="B16" s="1" t="s">
        <v>426</v>
      </c>
      <c r="C16" s="1" t="s">
        <v>427</v>
      </c>
      <c r="D16" s="1" t="s">
        <v>425</v>
      </c>
    </row>
    <row r="17" spans="1:4" ht="14.25" customHeight="1" x14ac:dyDescent="0.3">
      <c r="A17" s="1">
        <v>5</v>
      </c>
      <c r="B17" s="1" t="s">
        <v>413</v>
      </c>
      <c r="C17" s="1" t="s">
        <v>414</v>
      </c>
      <c r="D17" s="1" t="s">
        <v>425</v>
      </c>
    </row>
    <row r="18" spans="1:4" ht="14.25" customHeight="1" x14ac:dyDescent="0.3">
      <c r="A18" s="1">
        <v>6</v>
      </c>
      <c r="B18" s="1" t="s">
        <v>420</v>
      </c>
      <c r="C18" s="1" t="s">
        <v>95</v>
      </c>
      <c r="D18" s="1" t="s">
        <v>411</v>
      </c>
    </row>
    <row r="19" spans="1:4" ht="14.25" customHeight="1" x14ac:dyDescent="0.3">
      <c r="A19" s="1">
        <v>6</v>
      </c>
      <c r="B19" s="1" t="s">
        <v>428</v>
      </c>
      <c r="C19" s="1" t="s">
        <v>108</v>
      </c>
      <c r="D19" s="1" t="s">
        <v>411</v>
      </c>
    </row>
    <row r="20" spans="1:4" ht="14.25" customHeight="1" x14ac:dyDescent="0.3">
      <c r="A20" s="1">
        <v>7</v>
      </c>
      <c r="B20" s="1" t="s">
        <v>415</v>
      </c>
      <c r="C20" s="1" t="s">
        <v>98</v>
      </c>
      <c r="D20" s="1" t="s">
        <v>411</v>
      </c>
    </row>
    <row r="21" spans="1:4" ht="14.25" customHeight="1" x14ac:dyDescent="0.3">
      <c r="A21" s="1">
        <v>7</v>
      </c>
      <c r="B21" s="1" t="s">
        <v>416</v>
      </c>
      <c r="C21" s="1" t="s">
        <v>417</v>
      </c>
      <c r="D21" s="1" t="s">
        <v>411</v>
      </c>
    </row>
    <row r="22" spans="1:4" ht="14.25" customHeight="1" x14ac:dyDescent="0.3">
      <c r="A22" s="1">
        <v>8</v>
      </c>
      <c r="B22" s="1" t="s">
        <v>420</v>
      </c>
      <c r="C22" s="1" t="s">
        <v>95</v>
      </c>
      <c r="D22" s="1" t="s">
        <v>411</v>
      </c>
    </row>
    <row r="23" spans="1:4" ht="14.25" customHeight="1" x14ac:dyDescent="0.3">
      <c r="A23" s="1">
        <v>8</v>
      </c>
      <c r="B23" s="1" t="s">
        <v>429</v>
      </c>
      <c r="C23" s="1" t="s">
        <v>115</v>
      </c>
      <c r="D23" s="1" t="s">
        <v>411</v>
      </c>
    </row>
    <row r="24" spans="1:4" ht="14.25" customHeight="1" x14ac:dyDescent="0.3">
      <c r="A24" s="1">
        <v>9</v>
      </c>
      <c r="B24" s="1" t="s">
        <v>419</v>
      </c>
      <c r="C24" s="1" t="s">
        <v>106</v>
      </c>
      <c r="D24" s="1" t="s">
        <v>411</v>
      </c>
    </row>
    <row r="25" spans="1:4" ht="14.25" customHeight="1" x14ac:dyDescent="0.3">
      <c r="A25" s="1">
        <v>9</v>
      </c>
      <c r="B25" s="1" t="s">
        <v>428</v>
      </c>
      <c r="C25" s="1" t="s">
        <v>108</v>
      </c>
      <c r="D25" s="1" t="s">
        <v>411</v>
      </c>
    </row>
    <row r="26" spans="1:4" ht="14.25" customHeight="1" x14ac:dyDescent="0.3">
      <c r="A26" s="1">
        <v>10</v>
      </c>
      <c r="B26" s="1" t="s">
        <v>430</v>
      </c>
      <c r="C26" s="1" t="s">
        <v>431</v>
      </c>
      <c r="D26" s="1" t="s">
        <v>425</v>
      </c>
    </row>
    <row r="27" spans="1:4" ht="14.25" customHeight="1" x14ac:dyDescent="0.3">
      <c r="A27" s="1">
        <v>10</v>
      </c>
      <c r="B27" s="1" t="s">
        <v>416</v>
      </c>
      <c r="C27" s="1" t="s">
        <v>417</v>
      </c>
      <c r="D27" s="1" t="s">
        <v>425</v>
      </c>
    </row>
    <row r="28" spans="1:4" ht="14.25" customHeight="1" x14ac:dyDescent="0.3">
      <c r="A28" s="1">
        <v>10</v>
      </c>
      <c r="B28" s="1" t="s">
        <v>413</v>
      </c>
      <c r="C28" s="1" t="s">
        <v>414</v>
      </c>
      <c r="D28" s="1" t="s">
        <v>425</v>
      </c>
    </row>
    <row r="29" spans="1:4" ht="14.25" customHeight="1" x14ac:dyDescent="0.3">
      <c r="A29" s="1">
        <v>11</v>
      </c>
      <c r="B29" s="1" t="s">
        <v>412</v>
      </c>
      <c r="C29" s="1" t="s">
        <v>101</v>
      </c>
      <c r="D29" s="1" t="s">
        <v>411</v>
      </c>
    </row>
    <row r="30" spans="1:4" ht="14.25" customHeight="1" x14ac:dyDescent="0.3">
      <c r="A30" s="1">
        <v>12</v>
      </c>
      <c r="B30" s="1" t="s">
        <v>415</v>
      </c>
      <c r="C30" s="1" t="s">
        <v>98</v>
      </c>
      <c r="D30" s="1" t="s">
        <v>411</v>
      </c>
    </row>
    <row r="31" spans="1:4" ht="14.25" customHeight="1" x14ac:dyDescent="0.3">
      <c r="A31" s="1">
        <v>12</v>
      </c>
      <c r="B31" s="1" t="s">
        <v>416</v>
      </c>
      <c r="C31" s="1" t="s">
        <v>417</v>
      </c>
      <c r="D31" s="1" t="s">
        <v>411</v>
      </c>
    </row>
    <row r="32" spans="1:4" ht="14.25" customHeight="1" x14ac:dyDescent="0.3">
      <c r="A32" s="1">
        <v>13</v>
      </c>
      <c r="B32" s="1" t="s">
        <v>410</v>
      </c>
      <c r="C32" s="1" t="s">
        <v>92</v>
      </c>
      <c r="D32" s="1" t="s">
        <v>411</v>
      </c>
    </row>
    <row r="33" spans="1:4" ht="14.25" customHeight="1" x14ac:dyDescent="0.3">
      <c r="A33" s="1">
        <v>13</v>
      </c>
      <c r="B33" s="1" t="s">
        <v>412</v>
      </c>
      <c r="C33" s="1" t="s">
        <v>101</v>
      </c>
      <c r="D33" s="1" t="s">
        <v>411</v>
      </c>
    </row>
    <row r="34" spans="1:4" ht="14.25" customHeight="1" x14ac:dyDescent="0.3">
      <c r="A34" s="1">
        <v>14</v>
      </c>
      <c r="B34" s="1" t="s">
        <v>410</v>
      </c>
      <c r="C34" s="1" t="s">
        <v>92</v>
      </c>
      <c r="D34" s="1" t="s">
        <v>411</v>
      </c>
    </row>
    <row r="35" spans="1:4" ht="14.25" customHeight="1" x14ac:dyDescent="0.3">
      <c r="A35" s="1">
        <v>14</v>
      </c>
      <c r="B35" s="1" t="s">
        <v>418</v>
      </c>
      <c r="C35" s="1" t="s">
        <v>102</v>
      </c>
      <c r="D35" s="1" t="s">
        <v>411</v>
      </c>
    </row>
    <row r="36" spans="1:4" ht="14.25" customHeight="1" x14ac:dyDescent="0.3">
      <c r="A36" s="1">
        <v>14</v>
      </c>
      <c r="B36" s="1" t="s">
        <v>413</v>
      </c>
      <c r="C36" s="1" t="s">
        <v>414</v>
      </c>
      <c r="D36" s="1" t="s">
        <v>411</v>
      </c>
    </row>
    <row r="37" spans="1:4" ht="14.25" customHeight="1" x14ac:dyDescent="0.3">
      <c r="A37" s="1">
        <v>15</v>
      </c>
      <c r="B37" s="1" t="s">
        <v>423</v>
      </c>
      <c r="C37" s="1" t="s">
        <v>424</v>
      </c>
      <c r="D37" s="1" t="s">
        <v>425</v>
      </c>
    </row>
    <row r="38" spans="1:4" ht="14.25" customHeight="1" x14ac:dyDescent="0.3">
      <c r="A38" s="1">
        <v>15</v>
      </c>
      <c r="B38" s="1" t="s">
        <v>421</v>
      </c>
      <c r="C38" s="1" t="s">
        <v>422</v>
      </c>
      <c r="D38" s="1" t="s">
        <v>425</v>
      </c>
    </row>
    <row r="39" spans="1:4" ht="14.25" customHeight="1" x14ac:dyDescent="0.3">
      <c r="A39" s="1">
        <v>15</v>
      </c>
      <c r="B39" s="1" t="s">
        <v>413</v>
      </c>
      <c r="C39" s="1" t="s">
        <v>414</v>
      </c>
      <c r="D39" s="1" t="s">
        <v>425</v>
      </c>
    </row>
    <row r="40" spans="1:4" ht="14.25" customHeight="1" x14ac:dyDescent="0.3">
      <c r="A40" s="1">
        <v>16</v>
      </c>
      <c r="B40" s="1" t="s">
        <v>418</v>
      </c>
      <c r="C40" s="1" t="s">
        <v>102</v>
      </c>
      <c r="D40" s="1" t="s">
        <v>411</v>
      </c>
    </row>
    <row r="41" spans="1:4" ht="14.25" customHeight="1" x14ac:dyDescent="0.3">
      <c r="A41" s="1">
        <v>17</v>
      </c>
      <c r="B41" s="1" t="s">
        <v>432</v>
      </c>
      <c r="C41" s="1" t="s">
        <v>113</v>
      </c>
      <c r="D41" s="1" t="s">
        <v>411</v>
      </c>
    </row>
    <row r="42" spans="1:4" ht="14.25" customHeight="1" x14ac:dyDescent="0.3">
      <c r="A42" s="1">
        <v>17</v>
      </c>
      <c r="B42" s="1" t="s">
        <v>421</v>
      </c>
      <c r="C42" s="1" t="s">
        <v>422</v>
      </c>
      <c r="D42" s="1" t="s">
        <v>411</v>
      </c>
    </row>
    <row r="43" spans="1:4" ht="14.25" customHeight="1" x14ac:dyDescent="0.3">
      <c r="A43" s="1">
        <v>18</v>
      </c>
      <c r="B43" s="1" t="s">
        <v>433</v>
      </c>
      <c r="C43" s="1" t="s">
        <v>434</v>
      </c>
      <c r="D43" s="1" t="s">
        <v>425</v>
      </c>
    </row>
    <row r="44" spans="1:4" ht="14.25" customHeight="1" x14ac:dyDescent="0.3">
      <c r="A44" s="1">
        <v>18</v>
      </c>
      <c r="B44" s="1" t="s">
        <v>435</v>
      </c>
      <c r="C44" s="1" t="s">
        <v>436</v>
      </c>
      <c r="D44" s="1" t="s">
        <v>425</v>
      </c>
    </row>
    <row r="45" spans="1:4" ht="14.25" customHeight="1" x14ac:dyDescent="0.3">
      <c r="A45" s="1">
        <v>18</v>
      </c>
      <c r="B45" s="1" t="s">
        <v>413</v>
      </c>
      <c r="C45" s="1" t="s">
        <v>414</v>
      </c>
      <c r="D45" s="1" t="s">
        <v>425</v>
      </c>
    </row>
    <row r="46" spans="1:4" ht="14.25" customHeight="1" x14ac:dyDescent="0.3">
      <c r="A46" s="1">
        <v>19</v>
      </c>
      <c r="B46" s="1" t="s">
        <v>412</v>
      </c>
      <c r="C46" s="1" t="s">
        <v>101</v>
      </c>
      <c r="D46" s="1" t="s">
        <v>411</v>
      </c>
    </row>
    <row r="47" spans="1:4" ht="14.25" customHeight="1" x14ac:dyDescent="0.3">
      <c r="A47" s="1">
        <v>20</v>
      </c>
      <c r="B47" s="1" t="s">
        <v>432</v>
      </c>
      <c r="C47" s="1" t="s">
        <v>113</v>
      </c>
      <c r="D47" s="1" t="s">
        <v>411</v>
      </c>
    </row>
    <row r="48" spans="1:4" ht="14.25" customHeight="1" x14ac:dyDescent="0.3">
      <c r="A48" s="1">
        <v>20</v>
      </c>
      <c r="B48" s="1" t="s">
        <v>426</v>
      </c>
      <c r="C48" s="1" t="s">
        <v>427</v>
      </c>
      <c r="D48" s="1" t="s">
        <v>411</v>
      </c>
    </row>
    <row r="49" spans="1:4" ht="14.25" customHeight="1" x14ac:dyDescent="0.3">
      <c r="A49" s="1">
        <v>21</v>
      </c>
      <c r="B49" s="1" t="s">
        <v>410</v>
      </c>
      <c r="C49" s="1" t="s">
        <v>92</v>
      </c>
      <c r="D49" s="1" t="s">
        <v>411</v>
      </c>
    </row>
    <row r="50" spans="1:4" ht="14.25" customHeight="1" x14ac:dyDescent="0.3">
      <c r="A50" s="1">
        <v>21</v>
      </c>
      <c r="B50" s="1" t="s">
        <v>418</v>
      </c>
      <c r="C50" s="1" t="s">
        <v>102</v>
      </c>
      <c r="D50" s="1" t="s">
        <v>411</v>
      </c>
    </row>
    <row r="51" spans="1:4" ht="14.25" customHeight="1" x14ac:dyDescent="0.3">
      <c r="A51" s="1">
        <v>22</v>
      </c>
      <c r="B51" s="1" t="s">
        <v>430</v>
      </c>
      <c r="C51" s="1" t="s">
        <v>431</v>
      </c>
      <c r="D51" s="1" t="s">
        <v>425</v>
      </c>
    </row>
    <row r="52" spans="1:4" ht="14.25" customHeight="1" x14ac:dyDescent="0.3">
      <c r="A52" s="1">
        <v>22</v>
      </c>
      <c r="B52" s="1" t="s">
        <v>416</v>
      </c>
      <c r="C52" s="1" t="s">
        <v>417</v>
      </c>
      <c r="D52" s="1" t="s">
        <v>425</v>
      </c>
    </row>
    <row r="53" spans="1:4" ht="14.25" customHeight="1" x14ac:dyDescent="0.3">
      <c r="A53" s="1">
        <v>23</v>
      </c>
      <c r="B53" s="1" t="s">
        <v>428</v>
      </c>
      <c r="C53" s="1" t="s">
        <v>108</v>
      </c>
      <c r="D53" s="1" t="s">
        <v>411</v>
      </c>
    </row>
    <row r="54" spans="1:4" ht="14.25" customHeight="1" x14ac:dyDescent="0.3">
      <c r="A54" s="1">
        <v>23</v>
      </c>
      <c r="B54" s="1" t="s">
        <v>413</v>
      </c>
      <c r="C54" s="1" t="s">
        <v>414</v>
      </c>
      <c r="D54" s="1" t="s">
        <v>411</v>
      </c>
    </row>
    <row r="55" spans="1:4" ht="14.25" customHeight="1" x14ac:dyDescent="0.3">
      <c r="A55" s="1">
        <v>24</v>
      </c>
      <c r="B55" s="1" t="s">
        <v>418</v>
      </c>
      <c r="C55" s="1" t="s">
        <v>102</v>
      </c>
      <c r="D55" s="1" t="s">
        <v>411</v>
      </c>
    </row>
    <row r="56" spans="1:4" ht="14.25" customHeight="1" x14ac:dyDescent="0.3">
      <c r="A56" s="1">
        <v>25</v>
      </c>
      <c r="B56" s="1" t="s">
        <v>415</v>
      </c>
      <c r="C56" s="1" t="s">
        <v>98</v>
      </c>
      <c r="D56" s="1" t="s">
        <v>411</v>
      </c>
    </row>
    <row r="57" spans="1:4" ht="14.25" customHeight="1" x14ac:dyDescent="0.3">
      <c r="A57" s="1">
        <v>25</v>
      </c>
      <c r="B57" s="1" t="s">
        <v>416</v>
      </c>
      <c r="C57" s="1" t="s">
        <v>417</v>
      </c>
      <c r="D57" s="1" t="s">
        <v>411</v>
      </c>
    </row>
    <row r="58" spans="1:4" ht="14.25" customHeight="1" x14ac:dyDescent="0.3">
      <c r="A58" s="1">
        <v>26</v>
      </c>
      <c r="B58" s="1" t="s">
        <v>429</v>
      </c>
      <c r="C58" s="1" t="s">
        <v>115</v>
      </c>
      <c r="D58" s="1" t="s">
        <v>411</v>
      </c>
    </row>
    <row r="59" spans="1:4" ht="14.25" customHeight="1" x14ac:dyDescent="0.3">
      <c r="A59" s="1">
        <v>26</v>
      </c>
      <c r="B59" s="1" t="s">
        <v>420</v>
      </c>
      <c r="C59" s="1" t="s">
        <v>95</v>
      </c>
      <c r="D59" s="1" t="s">
        <v>411</v>
      </c>
    </row>
    <row r="60" spans="1:4" ht="14.25" customHeight="1" x14ac:dyDescent="0.3">
      <c r="A60" s="1">
        <v>27</v>
      </c>
      <c r="B60" s="1" t="s">
        <v>437</v>
      </c>
      <c r="C60" s="1" t="s">
        <v>104</v>
      </c>
      <c r="D60" s="1" t="s">
        <v>411</v>
      </c>
    </row>
    <row r="61" spans="1:4" ht="14.25" customHeight="1" x14ac:dyDescent="0.3">
      <c r="A61" s="1">
        <v>28</v>
      </c>
      <c r="B61" s="1" t="s">
        <v>415</v>
      </c>
      <c r="C61" s="1" t="s">
        <v>98</v>
      </c>
      <c r="D61" s="1" t="s">
        <v>411</v>
      </c>
    </row>
    <row r="62" spans="1:4" ht="14.25" customHeight="1" x14ac:dyDescent="0.3">
      <c r="A62" s="1">
        <v>29</v>
      </c>
      <c r="B62" s="1" t="s">
        <v>428</v>
      </c>
      <c r="C62" s="1" t="s">
        <v>108</v>
      </c>
      <c r="D62" s="1" t="s">
        <v>411</v>
      </c>
    </row>
    <row r="63" spans="1:4" ht="14.25" customHeight="1" x14ac:dyDescent="0.3">
      <c r="A63" s="1">
        <v>30</v>
      </c>
      <c r="B63" s="1" t="s">
        <v>426</v>
      </c>
      <c r="C63" s="1" t="s">
        <v>427</v>
      </c>
      <c r="D63" s="1" t="s">
        <v>425</v>
      </c>
    </row>
    <row r="64" spans="1:4" ht="14.25" customHeight="1" x14ac:dyDescent="0.3">
      <c r="A64" s="1">
        <v>30</v>
      </c>
      <c r="B64" s="1" t="s">
        <v>413</v>
      </c>
      <c r="C64" s="1" t="s">
        <v>414</v>
      </c>
      <c r="D64" s="1" t="s">
        <v>425</v>
      </c>
    </row>
  </sheetData>
  <mergeCells count="3">
    <mergeCell ref="A1:D1"/>
    <mergeCell ref="A4:D4"/>
    <mergeCell ref="A2:D2"/>
  </mergeCells>
  <conditionalFormatting sqref="D5:D100">
    <cfRule type="expression" dxfId="7" priority="2">
      <formula>D5="Preventivo"</formula>
    </cfRule>
    <cfRule type="expression" dxfId="6" priority="3">
      <formula>D5="Correctivo"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41"/>
  <sheetViews>
    <sheetView showGridLines="0" tabSelected="1" zoomScaleNormal="100" workbookViewId="0">
      <pane ySplit="6" topLeftCell="A27" activePane="bottomLeft" state="frozen"/>
      <selection pane="bottomLeft" activeCell="N33" sqref="N33"/>
    </sheetView>
  </sheetViews>
  <sheetFormatPr baseColWidth="10" defaultColWidth="8.6640625" defaultRowHeight="14.4" x14ac:dyDescent="0.3"/>
  <cols>
    <col min="1" max="1" width="10" style="1" customWidth="1"/>
    <col min="2" max="2" width="28" style="1" customWidth="1"/>
    <col min="3" max="3" width="12" style="1" customWidth="1"/>
    <col min="4" max="7" width="14" style="1" customWidth="1"/>
    <col min="8" max="8" width="12" style="1" customWidth="1"/>
    <col min="9" max="9" width="16" style="1" customWidth="1"/>
    <col min="10" max="10" width="14" style="1" customWidth="1"/>
  </cols>
  <sheetData>
    <row r="1" spans="1:10" ht="27.75" customHeight="1" x14ac:dyDescent="0.3">
      <c r="A1" s="154" t="s">
        <v>438</v>
      </c>
      <c r="B1" s="121"/>
      <c r="C1" s="121"/>
      <c r="D1" s="121"/>
      <c r="E1" s="121"/>
      <c r="F1" s="121"/>
      <c r="G1" s="121"/>
      <c r="H1" s="121"/>
      <c r="I1" s="121"/>
      <c r="J1" s="121"/>
    </row>
    <row r="2" spans="1:10" ht="18" customHeight="1" x14ac:dyDescent="0.3">
      <c r="A2" s="150" t="s">
        <v>439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 ht="18" customHeight="1" x14ac:dyDescent="0.3">
      <c r="A3" s="149" t="s">
        <v>440</v>
      </c>
      <c r="B3" s="121"/>
      <c r="C3" s="138" t="s">
        <v>441</v>
      </c>
      <c r="D3" s="121"/>
      <c r="E3" s="131" t="s">
        <v>442</v>
      </c>
      <c r="F3" s="121"/>
      <c r="G3" s="149" t="s">
        <v>443</v>
      </c>
      <c r="H3" s="121"/>
      <c r="I3" s="141" t="s">
        <v>444</v>
      </c>
      <c r="J3" s="121"/>
    </row>
    <row r="4" spans="1:10" ht="27.75" customHeight="1" x14ac:dyDescent="0.3">
      <c r="A4" s="180">
        <f>SUM(MANTENIMIENTOS!L11:L5000)</f>
        <v>19950</v>
      </c>
      <c r="B4" s="125"/>
      <c r="C4" s="189">
        <f>SUM(MANTENIMIENTOS!M11:M5000)</f>
        <v>22600</v>
      </c>
      <c r="D4" s="125"/>
      <c r="E4" s="190">
        <f>SUM(MANTENIMIENTOS!L11:L5000)+SUM(MANTENIMIENTOS!M11:M5000)</f>
        <v>42550</v>
      </c>
      <c r="F4" s="125"/>
      <c r="G4" s="181">
        <f>COUNTA(MANTENIMIENTOS!A11:A5000)</f>
        <v>30</v>
      </c>
      <c r="H4" s="125"/>
      <c r="I4" s="182">
        <f>IFERROR((SUM(MANTENIMIENTOS!L11:L5000)+SUM(MANTENIMIENTOS!M11:M5000))/COUNTA(MANTENIMIENTOS!A11:A5000),0)</f>
        <v>1418.3333333333333</v>
      </c>
      <c r="J4" s="125"/>
    </row>
    <row r="5" spans="1:10" ht="9.75" customHeight="1" x14ac:dyDescent="0.3">
      <c r="A5" s="125"/>
      <c r="B5" s="125"/>
      <c r="C5" s="125"/>
      <c r="D5" s="125"/>
      <c r="E5" s="125"/>
      <c r="F5" s="125"/>
      <c r="G5" s="125"/>
      <c r="H5" s="125"/>
      <c r="I5" s="125"/>
      <c r="J5" s="125"/>
    </row>
    <row r="6" spans="1:10" ht="6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31.5" customHeight="1" x14ac:dyDescent="0.3">
      <c r="A7" s="16" t="s">
        <v>40</v>
      </c>
      <c r="B7" s="16" t="s">
        <v>41</v>
      </c>
      <c r="C7" s="16" t="s">
        <v>235</v>
      </c>
      <c r="D7" s="16" t="s">
        <v>445</v>
      </c>
      <c r="E7" s="16" t="s">
        <v>446</v>
      </c>
      <c r="F7" s="16" t="s">
        <v>447</v>
      </c>
      <c r="G7" s="16" t="s">
        <v>36</v>
      </c>
      <c r="H7" s="16" t="s">
        <v>448</v>
      </c>
      <c r="I7" s="16" t="s">
        <v>449</v>
      </c>
      <c r="J7" s="16" t="s">
        <v>450</v>
      </c>
    </row>
    <row r="8" spans="1:10" ht="19.5" customHeight="1" x14ac:dyDescent="0.3">
      <c r="A8" s="7" t="s">
        <v>51</v>
      </c>
      <c r="B8" s="8" t="s">
        <v>52</v>
      </c>
      <c r="C8" s="7" t="s">
        <v>411</v>
      </c>
      <c r="D8" s="7">
        <f>COUNTIFS(MANTENIMIENTOS!N:N,B8,MANTENIMIENTOS!E:E,TRUE())</f>
        <v>4</v>
      </c>
      <c r="E8" s="10">
        <f>SUMIFS(MANTENIMIENTOS!L:L,MANTENIMIENTOS!N:N,B8,MANTENIMIENTOS!E:E,TRUE())</f>
        <v>2450</v>
      </c>
      <c r="F8" s="10">
        <f>SUMIFS(MANTENIMIENTOS!M:M,MANTENIMIENTOS!N:N,B8,MANTENIMIENTOS!E:E,TRUE())</f>
        <v>2360</v>
      </c>
      <c r="G8" s="10">
        <f t="shared" ref="G8:G21" si="0">E8+F8</f>
        <v>4810</v>
      </c>
      <c r="H8" s="9">
        <f>IFERROR(G8/(SUM(MANTENIMIENTOS!L11:L5000)+SUM(MANTENIMIENTOS!M11:M5000)),0)</f>
        <v>0.11304347826086956</v>
      </c>
      <c r="I8" s="10">
        <f t="shared" ref="I8:I21" si="1">IFERROR(G8/D8,0)</f>
        <v>1202.5</v>
      </c>
      <c r="J8" s="7" t="str">
        <f t="shared" ref="J8:J21" si="2">IF(G8=0,"Sin datos",IF(G8&gt;10000,"💰 Alto",IF(G8&gt;3000,"⚠ Moderado","✔ Bajo")))</f>
        <v>⚠ Moderado</v>
      </c>
    </row>
    <row r="9" spans="1:10" ht="19.5" customHeight="1" x14ac:dyDescent="0.3">
      <c r="A9" s="11" t="s">
        <v>51</v>
      </c>
      <c r="B9" s="12" t="s">
        <v>52</v>
      </c>
      <c r="C9" s="11" t="s">
        <v>425</v>
      </c>
      <c r="D9" s="11">
        <f>COUNTIFS(MANTENIMIENTOS!N:N,B9,MANTENIMIENTOS!E:E,FALSE())</f>
        <v>0</v>
      </c>
      <c r="E9" s="14">
        <f>SUMIFS(MANTENIMIENTOS!L:L,MANTENIMIENTOS!N:N,B9,MANTENIMIENTOS!E:E,FALSE())</f>
        <v>0</v>
      </c>
      <c r="F9" s="14">
        <f>SUMIFS(MANTENIMIENTOS!M:M,MANTENIMIENTOS!N:N,B9,MANTENIMIENTOS!E:E,FALSE())</f>
        <v>0</v>
      </c>
      <c r="G9" s="14">
        <f t="shared" si="0"/>
        <v>0</v>
      </c>
      <c r="H9" s="13">
        <f>IFERROR(G9/(SUM(MANTENIMIENTOS!L11:L5000)+SUM(MANTENIMIENTOS!M11:M5000)),0)</f>
        <v>0</v>
      </c>
      <c r="I9" s="14">
        <f t="shared" si="1"/>
        <v>0</v>
      </c>
      <c r="J9" s="11" t="str">
        <f t="shared" si="2"/>
        <v>Sin datos</v>
      </c>
    </row>
    <row r="10" spans="1:10" ht="19.5" customHeight="1" x14ac:dyDescent="0.3">
      <c r="A10" s="7" t="s">
        <v>53</v>
      </c>
      <c r="B10" s="8" t="s">
        <v>54</v>
      </c>
      <c r="C10" s="7" t="s">
        <v>411</v>
      </c>
      <c r="D10" s="7">
        <f>COUNTIFS(MANTENIMIENTOS!N:N,B10,MANTENIMIENTOS!E:E,TRUE())</f>
        <v>3</v>
      </c>
      <c r="E10" s="10">
        <f>SUMIFS(MANTENIMIENTOS!L:L,MANTENIMIENTOS!N:N,B10,MANTENIMIENTOS!E:E,TRUE())</f>
        <v>1200</v>
      </c>
      <c r="F10" s="10">
        <f>SUMIFS(MANTENIMIENTOS!M:M,MANTENIMIENTOS!N:N,B10,MANTENIMIENTOS!E:E,TRUE())</f>
        <v>790</v>
      </c>
      <c r="G10" s="10">
        <f t="shared" si="0"/>
        <v>1990</v>
      </c>
      <c r="H10" s="9">
        <f>IFERROR(G10/(SUM(MANTENIMIENTOS!L11:L5000)+SUM(MANTENIMIENTOS!M11:M5000)),0)</f>
        <v>4.6768507638072852E-2</v>
      </c>
      <c r="I10" s="10">
        <f t="shared" si="1"/>
        <v>663.33333333333337</v>
      </c>
      <c r="J10" s="7" t="str">
        <f t="shared" si="2"/>
        <v>✔ Bajo</v>
      </c>
    </row>
    <row r="11" spans="1:10" ht="19.5" customHeight="1" x14ac:dyDescent="0.3">
      <c r="A11" s="11" t="s">
        <v>53</v>
      </c>
      <c r="B11" s="12" t="s">
        <v>54</v>
      </c>
      <c r="C11" s="11" t="s">
        <v>425</v>
      </c>
      <c r="D11" s="11">
        <f>COUNTIFS(MANTENIMIENTOS!N:N,B11,MANTENIMIENTOS!E:E,FALSE())</f>
        <v>1</v>
      </c>
      <c r="E11" s="14">
        <f>SUMIFS(MANTENIMIENTOS!L:L,MANTENIMIENTOS!N:N,B11,MANTENIMIENTOS!E:E,FALSE())</f>
        <v>1500</v>
      </c>
      <c r="F11" s="14">
        <f>SUMIFS(MANTENIMIENTOS!M:M,MANTENIMIENTOS!N:N,B11,MANTENIMIENTOS!E:E,FALSE())</f>
        <v>3200</v>
      </c>
      <c r="G11" s="14">
        <f t="shared" si="0"/>
        <v>4700</v>
      </c>
      <c r="H11" s="13">
        <f>IFERROR(G11/(SUM(MANTENIMIENTOS!L11:L5000)+SUM(MANTENIMIENTOS!M11:M5000)),0)</f>
        <v>0.11045828437132785</v>
      </c>
      <c r="I11" s="14">
        <f t="shared" si="1"/>
        <v>4700</v>
      </c>
      <c r="J11" s="11" t="str">
        <f t="shared" si="2"/>
        <v>⚠ Moderado</v>
      </c>
    </row>
    <row r="12" spans="1:10" ht="19.5" customHeight="1" x14ac:dyDescent="0.3">
      <c r="A12" s="7" t="s">
        <v>55</v>
      </c>
      <c r="B12" s="8" t="s">
        <v>56</v>
      </c>
      <c r="C12" s="7" t="s">
        <v>411</v>
      </c>
      <c r="D12" s="7">
        <f>COUNTIFS(MANTENIMIENTOS!N:N,B12,MANTENIMIENTOS!E:E,TRUE())</f>
        <v>2</v>
      </c>
      <c r="E12" s="10">
        <f>SUMIFS(MANTENIMIENTOS!L:L,MANTENIMIENTOS!N:N,B12,MANTENIMIENTOS!E:E,TRUE())</f>
        <v>750</v>
      </c>
      <c r="F12" s="10">
        <f>SUMIFS(MANTENIMIENTOS!M:M,MANTENIMIENTOS!N:N,B12,MANTENIMIENTOS!E:E,TRUE())</f>
        <v>460</v>
      </c>
      <c r="G12" s="10">
        <f t="shared" si="0"/>
        <v>1210</v>
      </c>
      <c r="H12" s="9">
        <f>IFERROR(G12/(SUM(MANTENIMIENTOS!L11:L5000)+SUM(MANTENIMIENTOS!M11:M5000)),0)</f>
        <v>2.8437132784958873E-2</v>
      </c>
      <c r="I12" s="10">
        <f t="shared" si="1"/>
        <v>605</v>
      </c>
      <c r="J12" s="7" t="str">
        <f t="shared" si="2"/>
        <v>✔ Bajo</v>
      </c>
    </row>
    <row r="13" spans="1:10" ht="19.5" customHeight="1" x14ac:dyDescent="0.3">
      <c r="A13" s="11" t="s">
        <v>57</v>
      </c>
      <c r="B13" s="12" t="s">
        <v>58</v>
      </c>
      <c r="C13" s="11" t="s">
        <v>411</v>
      </c>
      <c r="D13" s="11">
        <f>COUNTIFS(MANTENIMIENTOS!N:N,B13,MANTENIMIENTOS!E:E,TRUE())</f>
        <v>2</v>
      </c>
      <c r="E13" s="14">
        <f>SUMIFS(MANTENIMIENTOS!L:L,MANTENIMIENTOS!N:N,B13,MANTENIMIENTOS!E:E,TRUE())</f>
        <v>1050</v>
      </c>
      <c r="F13" s="14">
        <f>SUMIFS(MANTENIMIENTOS!M:M,MANTENIMIENTOS!N:N,B13,MANTENIMIENTOS!E:E,TRUE())</f>
        <v>670</v>
      </c>
      <c r="G13" s="14">
        <f t="shared" si="0"/>
        <v>1720</v>
      </c>
      <c r="H13" s="13">
        <f>IFERROR(G13/(SUM(MANTENIMIENTOS!L11:L5000)+SUM(MANTENIMIENTOS!M11:M5000)),0)</f>
        <v>4.0423031727379551E-2</v>
      </c>
      <c r="I13" s="14">
        <f t="shared" si="1"/>
        <v>860</v>
      </c>
      <c r="J13" s="11" t="str">
        <f t="shared" si="2"/>
        <v>✔ Bajo</v>
      </c>
    </row>
    <row r="14" spans="1:10" ht="19.5" customHeight="1" x14ac:dyDescent="0.3">
      <c r="A14" s="7" t="s">
        <v>57</v>
      </c>
      <c r="B14" s="8" t="s">
        <v>58</v>
      </c>
      <c r="C14" s="7" t="s">
        <v>425</v>
      </c>
      <c r="D14" s="7">
        <f>COUNTIFS(MANTENIMIENTOS!N:N,B14,MANTENIMIENTOS!E:E,FALSE())</f>
        <v>1</v>
      </c>
      <c r="E14" s="10">
        <f>SUMIFS(MANTENIMIENTOS!L:L,MANTENIMIENTOS!N:N,B14,MANTENIMIENTOS!E:E,FALSE())</f>
        <v>1200</v>
      </c>
      <c r="F14" s="10">
        <f>SUMIFS(MANTENIMIENTOS!M:M,MANTENIMIENTOS!N:N,B14,MANTENIMIENTOS!E:E,FALSE())</f>
        <v>1800</v>
      </c>
      <c r="G14" s="10">
        <f t="shared" si="0"/>
        <v>3000</v>
      </c>
      <c r="H14" s="9">
        <f>IFERROR(G14/(SUM(MANTENIMIENTOS!L11:L5000)+SUM(MANTENIMIENTOS!M11:M5000)),0)</f>
        <v>7.0505287896592245E-2</v>
      </c>
      <c r="I14" s="10">
        <f t="shared" si="1"/>
        <v>3000</v>
      </c>
      <c r="J14" s="7" t="str">
        <f t="shared" si="2"/>
        <v>✔ Bajo</v>
      </c>
    </row>
    <row r="15" spans="1:10" ht="19.5" customHeight="1" x14ac:dyDescent="0.3">
      <c r="A15" s="11" t="s">
        <v>59</v>
      </c>
      <c r="B15" s="12" t="s">
        <v>60</v>
      </c>
      <c r="C15" s="11" t="s">
        <v>411</v>
      </c>
      <c r="D15" s="11">
        <f>COUNTIFS(MANTENIMIENTOS!N:N,B15,MANTENIMIENTOS!E:E,TRUE())</f>
        <v>3</v>
      </c>
      <c r="E15" s="14">
        <f>SUMIFS(MANTENIMIENTOS!L:L,MANTENIMIENTOS!N:N,B15,MANTENIMIENTOS!E:E,TRUE())</f>
        <v>1450</v>
      </c>
      <c r="F15" s="14">
        <f>SUMIFS(MANTENIMIENTOS!M:M,MANTENIMIENTOS!N:N,B15,MANTENIMIENTOS!E:E,TRUE())</f>
        <v>1010</v>
      </c>
      <c r="G15" s="14">
        <f t="shared" si="0"/>
        <v>2460</v>
      </c>
      <c r="H15" s="13">
        <f>IFERROR(G15/(SUM(MANTENIMIENTOS!L11:L5000)+SUM(MANTENIMIENTOS!M11:M5000)),0)</f>
        <v>5.7814336075205641E-2</v>
      </c>
      <c r="I15" s="14">
        <f t="shared" si="1"/>
        <v>820</v>
      </c>
      <c r="J15" s="11" t="str">
        <f t="shared" si="2"/>
        <v>✔ Bajo</v>
      </c>
    </row>
    <row r="16" spans="1:10" ht="19.5" customHeight="1" x14ac:dyDescent="0.3">
      <c r="A16" s="7" t="s">
        <v>61</v>
      </c>
      <c r="B16" s="8" t="s">
        <v>62</v>
      </c>
      <c r="C16" s="7" t="s">
        <v>411</v>
      </c>
      <c r="D16" s="7">
        <f>COUNTIFS(MANTENIMIENTOS!N:N,B16,MANTENIMIENTOS!E:E,TRUE())</f>
        <v>3</v>
      </c>
      <c r="E16" s="10">
        <f>SUMIFS(MANTENIMIENTOS!L:L,MANTENIMIENTOS!N:N,B16,MANTENIMIENTOS!E:E,TRUE())</f>
        <v>1650</v>
      </c>
      <c r="F16" s="10">
        <f>SUMIFS(MANTENIMIENTOS!M:M,MANTENIMIENTOS!N:N,B16,MANTENIMIENTOS!E:E,TRUE())</f>
        <v>1540</v>
      </c>
      <c r="G16" s="10">
        <f t="shared" si="0"/>
        <v>3190</v>
      </c>
      <c r="H16" s="9">
        <f>IFERROR(G16/(SUM(MANTENIMIENTOS!L11:L5000)+SUM(MANTENIMIENTOS!M11:M5000)),0)</f>
        <v>7.4970622796709754E-2</v>
      </c>
      <c r="I16" s="10">
        <f t="shared" si="1"/>
        <v>1063.3333333333333</v>
      </c>
      <c r="J16" s="7" t="str">
        <f t="shared" si="2"/>
        <v>⚠ Moderado</v>
      </c>
    </row>
    <row r="17" spans="1:10" ht="19.5" customHeight="1" x14ac:dyDescent="0.3">
      <c r="A17" s="11" t="s">
        <v>63</v>
      </c>
      <c r="B17" s="12" t="s">
        <v>64</v>
      </c>
      <c r="C17" s="11" t="s">
        <v>411</v>
      </c>
      <c r="D17" s="11">
        <f>COUNTIFS(MANTENIMIENTOS!N:N,B17,MANTENIMIENTOS!E:E,TRUE())</f>
        <v>2</v>
      </c>
      <c r="E17" s="14">
        <f>SUMIFS(MANTENIMIENTOS!L:L,MANTENIMIENTOS!N:N,B17,MANTENIMIENTOS!E:E,TRUE())</f>
        <v>1350</v>
      </c>
      <c r="F17" s="14">
        <f>SUMIFS(MANTENIMIENTOS!M:M,MANTENIMIENTOS!N:N,B17,MANTENIMIENTOS!E:E,TRUE())</f>
        <v>800</v>
      </c>
      <c r="G17" s="14">
        <f t="shared" si="0"/>
        <v>2150</v>
      </c>
      <c r="H17" s="13">
        <f>IFERROR(G17/(SUM(MANTENIMIENTOS!L11:L5000)+SUM(MANTENIMIENTOS!M11:M5000)),0)</f>
        <v>5.0528789659224443E-2</v>
      </c>
      <c r="I17" s="14">
        <f t="shared" si="1"/>
        <v>1075</v>
      </c>
      <c r="J17" s="11" t="str">
        <f t="shared" si="2"/>
        <v>✔ Bajo</v>
      </c>
    </row>
    <row r="18" spans="1:10" ht="19.5" customHeight="1" x14ac:dyDescent="0.3">
      <c r="A18" s="7" t="s">
        <v>63</v>
      </c>
      <c r="B18" s="8" t="s">
        <v>64</v>
      </c>
      <c r="C18" s="7" t="s">
        <v>425</v>
      </c>
      <c r="D18" s="7">
        <f>COUNTIFS(MANTENIMIENTOS!N:N,B18,MANTENIMIENTOS!E:E,FALSE())</f>
        <v>1</v>
      </c>
      <c r="E18" s="10">
        <f>SUMIFS(MANTENIMIENTOS!L:L,MANTENIMIENTOS!N:N,B18,MANTENIMIENTOS!E:E,FALSE())</f>
        <v>1800</v>
      </c>
      <c r="F18" s="10">
        <f>SUMIFS(MANTENIMIENTOS!M:M,MANTENIMIENTOS!N:N,B18,MANTENIMIENTOS!E:E,FALSE())</f>
        <v>3800</v>
      </c>
      <c r="G18" s="10">
        <f t="shared" si="0"/>
        <v>5600</v>
      </c>
      <c r="H18" s="9">
        <f>IFERROR(G18/(SUM(MANTENIMIENTOS!L11:L5000)+SUM(MANTENIMIENTOS!M11:M5000)),0)</f>
        <v>0.13160987074030553</v>
      </c>
      <c r="I18" s="10">
        <f t="shared" si="1"/>
        <v>5600</v>
      </c>
      <c r="J18" s="7" t="str">
        <f t="shared" si="2"/>
        <v>⚠ Moderado</v>
      </c>
    </row>
    <row r="19" spans="1:10" ht="19.5" customHeight="1" x14ac:dyDescent="0.3">
      <c r="A19" s="11" t="s">
        <v>65</v>
      </c>
      <c r="B19" s="12" t="s">
        <v>66</v>
      </c>
      <c r="C19" s="11" t="s">
        <v>411</v>
      </c>
      <c r="D19" s="11">
        <f>COUNTIFS(MANTENIMIENTOS!N:N,B19,MANTENIMIENTOS!E:E,TRUE())</f>
        <v>2</v>
      </c>
      <c r="E19" s="14">
        <f>SUMIFS(MANTENIMIENTOS!L:L,MANTENIMIENTOS!N:N,B19,MANTENIMIENTOS!E:E,TRUE())</f>
        <v>750</v>
      </c>
      <c r="F19" s="14">
        <f>SUMIFS(MANTENIMIENTOS!M:M,MANTENIMIENTOS!N:N,B19,MANTENIMIENTOS!E:E,TRUE())</f>
        <v>530</v>
      </c>
      <c r="G19" s="14">
        <f t="shared" si="0"/>
        <v>1280</v>
      </c>
      <c r="H19" s="13">
        <f>IFERROR(G19/(SUM(MANTENIMIENTOS!L11:L5000)+SUM(MANTENIMIENTOS!M11:M5000)),0)</f>
        <v>3.0082256169212691E-2</v>
      </c>
      <c r="I19" s="14">
        <f t="shared" si="1"/>
        <v>640</v>
      </c>
      <c r="J19" s="11" t="str">
        <f t="shared" si="2"/>
        <v>✔ Bajo</v>
      </c>
    </row>
    <row r="20" spans="1:10" ht="19.5" customHeight="1" x14ac:dyDescent="0.3">
      <c r="A20" s="7" t="s">
        <v>67</v>
      </c>
      <c r="B20" s="8" t="s">
        <v>68</v>
      </c>
      <c r="C20" s="7" t="s">
        <v>411</v>
      </c>
      <c r="D20" s="7">
        <f>COUNTIFS(MANTENIMIENTOS!N:N,B20,MANTENIMIENTOS!E:E,TRUE())</f>
        <v>2</v>
      </c>
      <c r="E20" s="10">
        <f>SUMIFS(MANTENIMIENTOS!L:L,MANTENIMIENTOS!N:N,B20,MANTENIMIENTOS!E:E,TRUE())</f>
        <v>1350</v>
      </c>
      <c r="F20" s="10">
        <f>SUMIFS(MANTENIMIENTOS!M:M,MANTENIMIENTOS!N:N,B20,MANTENIMIENTOS!E:E,TRUE())</f>
        <v>1270</v>
      </c>
      <c r="G20" s="10">
        <f t="shared" si="0"/>
        <v>2620</v>
      </c>
      <c r="H20" s="9">
        <f>IFERROR(G20/(SUM(MANTENIMIENTOS!L11:L5000)+SUM(MANTENIMIENTOS!M11:M5000)),0)</f>
        <v>6.1574618096357225E-2</v>
      </c>
      <c r="I20" s="10">
        <f t="shared" si="1"/>
        <v>1310</v>
      </c>
      <c r="J20" s="7" t="str">
        <f t="shared" si="2"/>
        <v>✔ Bajo</v>
      </c>
    </row>
    <row r="21" spans="1:10" ht="19.5" customHeight="1" x14ac:dyDescent="0.3">
      <c r="A21" s="11" t="s">
        <v>69</v>
      </c>
      <c r="B21" s="12" t="s">
        <v>70</v>
      </c>
      <c r="C21" s="11" t="s">
        <v>411</v>
      </c>
      <c r="D21" s="11">
        <f>COUNTIFS(MANTENIMIENTOS!N:N,B21,MANTENIMIENTOS!E:E,TRUE())</f>
        <v>1</v>
      </c>
      <c r="E21" s="14">
        <f>SUMIFS(MANTENIMIENTOS!L:L,MANTENIMIENTOS!N:N,B21,MANTENIMIENTOS!E:E,TRUE())</f>
        <v>450</v>
      </c>
      <c r="F21" s="14">
        <f>SUMIFS(MANTENIMIENTOS!M:M,MANTENIMIENTOS!N:N,B21,MANTENIMIENTOS!E:E,TRUE())</f>
        <v>320</v>
      </c>
      <c r="G21" s="14">
        <f t="shared" si="0"/>
        <v>770</v>
      </c>
      <c r="H21" s="13">
        <f>IFERROR(G21/(SUM(MANTENIMIENTOS!L11:L5000)+SUM(MANTENIMIENTOS!M11:M5000)),0)</f>
        <v>1.8096357226792009E-2</v>
      </c>
      <c r="I21" s="14">
        <f t="shared" si="1"/>
        <v>770</v>
      </c>
      <c r="J21" s="11" t="str">
        <f t="shared" si="2"/>
        <v>✔ Bajo</v>
      </c>
    </row>
    <row r="22" spans="1:10" ht="21.75" customHeight="1" x14ac:dyDescent="0.3">
      <c r="A22" s="175" t="s">
        <v>451</v>
      </c>
      <c r="B22" s="125"/>
      <c r="C22" s="125"/>
      <c r="D22" s="68"/>
      <c r="E22" s="69">
        <f>SUM(E8:E21)</f>
        <v>16950</v>
      </c>
      <c r="F22" s="69">
        <f>SUM(F8:F21)</f>
        <v>18550</v>
      </c>
      <c r="G22" s="69">
        <f>SUM(G8:G21)</f>
        <v>35500</v>
      </c>
      <c r="H22" s="69">
        <f>SUM(MANTENIMIENTOS!L11:L5000)+SUM(MANTENIMIENTOS!M11:M5000)</f>
        <v>42550</v>
      </c>
      <c r="I22" s="69">
        <f>SUM(I8:I21)</f>
        <v>22309.166666666668</v>
      </c>
    </row>
    <row r="24" spans="1:10" ht="28.05" customHeight="1" x14ac:dyDescent="0.3">
      <c r="A24" s="183" t="s">
        <v>452</v>
      </c>
      <c r="B24" s="125"/>
      <c r="C24" s="125"/>
      <c r="D24" s="125"/>
      <c r="E24" s="125"/>
      <c r="F24" s="125"/>
      <c r="G24" s="125"/>
      <c r="H24" s="125"/>
      <c r="I24" s="125"/>
      <c r="J24" s="125"/>
    </row>
    <row r="25" spans="1:10" ht="18" customHeight="1" x14ac:dyDescent="0.3">
      <c r="A25" s="188" t="s">
        <v>453</v>
      </c>
      <c r="B25" s="125"/>
      <c r="C25" s="125"/>
      <c r="D25" s="125"/>
      <c r="E25" s="125"/>
      <c r="F25" s="125"/>
      <c r="G25" s="125"/>
      <c r="H25" s="125"/>
      <c r="I25" s="125"/>
      <c r="J25" s="125"/>
    </row>
    <row r="26" spans="1:10" ht="30" customHeight="1" x14ac:dyDescent="0.3">
      <c r="A26" s="179" t="s">
        <v>454</v>
      </c>
      <c r="B26" s="125"/>
      <c r="C26" s="179" t="s">
        <v>455</v>
      </c>
      <c r="D26" s="125"/>
      <c r="E26" s="179" t="s">
        <v>456</v>
      </c>
      <c r="F26" s="125"/>
      <c r="G26" s="179" t="s">
        <v>457</v>
      </c>
      <c r="H26" s="125"/>
      <c r="I26" s="179" t="s">
        <v>458</v>
      </c>
      <c r="J26" s="125"/>
    </row>
    <row r="27" spans="1:10" ht="22.05" customHeight="1" x14ac:dyDescent="0.3">
      <c r="A27" s="185">
        <v>2080</v>
      </c>
      <c r="B27" s="125"/>
      <c r="C27" s="178">
        <v>1260</v>
      </c>
      <c r="D27" s="125"/>
      <c r="E27" s="186">
        <v>21</v>
      </c>
      <c r="F27" s="125"/>
      <c r="G27" s="177">
        <v>1.01E-2</v>
      </c>
      <c r="H27" s="125"/>
      <c r="I27" s="178">
        <v>6</v>
      </c>
      <c r="J27" s="125"/>
    </row>
    <row r="28" spans="1:10" ht="36" customHeight="1" x14ac:dyDescent="0.3">
      <c r="A28" s="70" t="s">
        <v>173</v>
      </c>
      <c r="B28" s="70" t="s">
        <v>174</v>
      </c>
      <c r="C28" s="70" t="s">
        <v>459</v>
      </c>
      <c r="D28" s="70" t="s">
        <v>460</v>
      </c>
      <c r="E28" s="70" t="s">
        <v>461</v>
      </c>
      <c r="F28" s="70" t="s">
        <v>462</v>
      </c>
      <c r="G28" s="70" t="s">
        <v>463</v>
      </c>
      <c r="H28" s="70" t="s">
        <v>464</v>
      </c>
      <c r="I28" s="70" t="s">
        <v>450</v>
      </c>
      <c r="J28" s="70"/>
    </row>
    <row r="29" spans="1:10" ht="22.05" customHeight="1" x14ac:dyDescent="0.3">
      <c r="A29" s="71" t="s">
        <v>51</v>
      </c>
      <c r="B29" s="72" t="s">
        <v>52</v>
      </c>
      <c r="C29" s="73" t="s">
        <v>213</v>
      </c>
      <c r="D29" s="74" t="s">
        <v>213</v>
      </c>
      <c r="E29" s="75" t="s">
        <v>213</v>
      </c>
      <c r="F29" s="76" t="s">
        <v>213</v>
      </c>
      <c r="G29" s="77" t="s">
        <v>213</v>
      </c>
      <c r="H29" s="77" t="s">
        <v>213</v>
      </c>
      <c r="I29" s="76" t="s">
        <v>465</v>
      </c>
      <c r="J29" s="76"/>
    </row>
    <row r="30" spans="1:10" ht="22.05" customHeight="1" x14ac:dyDescent="0.3">
      <c r="A30" s="78" t="s">
        <v>53</v>
      </c>
      <c r="B30" s="79" t="s">
        <v>54</v>
      </c>
      <c r="C30" s="80">
        <v>300</v>
      </c>
      <c r="D30" s="81">
        <v>5</v>
      </c>
      <c r="E30" s="82">
        <v>2.403846153846154E-3</v>
      </c>
      <c r="F30" s="83">
        <v>1</v>
      </c>
      <c r="G30" s="84">
        <v>4700</v>
      </c>
      <c r="H30" s="84">
        <v>940</v>
      </c>
      <c r="I30" s="78" t="s">
        <v>466</v>
      </c>
      <c r="J30" s="83"/>
    </row>
    <row r="31" spans="1:10" ht="22.05" customHeight="1" x14ac:dyDescent="0.3">
      <c r="A31" s="78" t="s">
        <v>55</v>
      </c>
      <c r="B31" s="79" t="s">
        <v>56</v>
      </c>
      <c r="C31" s="80">
        <v>240</v>
      </c>
      <c r="D31" s="81">
        <v>4</v>
      </c>
      <c r="E31" s="82">
        <v>1.923076923076923E-3</v>
      </c>
      <c r="F31" s="83">
        <v>1</v>
      </c>
      <c r="G31" s="84">
        <v>3300</v>
      </c>
      <c r="H31" s="84">
        <v>825</v>
      </c>
      <c r="I31" s="78" t="s">
        <v>466</v>
      </c>
      <c r="J31" s="83"/>
    </row>
    <row r="32" spans="1:10" ht="22.05" customHeight="1" x14ac:dyDescent="0.3">
      <c r="A32" s="78" t="s">
        <v>57</v>
      </c>
      <c r="B32" s="79" t="s">
        <v>58</v>
      </c>
      <c r="C32" s="80">
        <v>240</v>
      </c>
      <c r="D32" s="81">
        <v>4</v>
      </c>
      <c r="E32" s="82">
        <v>1.923076923076923E-3</v>
      </c>
      <c r="F32" s="83">
        <v>1</v>
      </c>
      <c r="G32" s="84">
        <v>3000</v>
      </c>
      <c r="H32" s="84">
        <v>750</v>
      </c>
      <c r="I32" s="78" t="s">
        <v>466</v>
      </c>
      <c r="J32" s="83"/>
    </row>
    <row r="33" spans="1:10" ht="22.05" customHeight="1" x14ac:dyDescent="0.3">
      <c r="A33" s="71" t="s">
        <v>59</v>
      </c>
      <c r="B33" s="72" t="s">
        <v>60</v>
      </c>
      <c r="C33" s="73" t="s">
        <v>213</v>
      </c>
      <c r="D33" s="74" t="s">
        <v>213</v>
      </c>
      <c r="E33" s="75" t="s">
        <v>213</v>
      </c>
      <c r="F33" s="76" t="s">
        <v>213</v>
      </c>
      <c r="G33" s="77" t="s">
        <v>213</v>
      </c>
      <c r="H33" s="77" t="s">
        <v>213</v>
      </c>
      <c r="I33" s="76" t="s">
        <v>465</v>
      </c>
      <c r="J33" s="76"/>
    </row>
    <row r="34" spans="1:10" ht="22.05" customHeight="1" x14ac:dyDescent="0.3">
      <c r="A34" s="71" t="s">
        <v>61</v>
      </c>
      <c r="B34" s="72" t="s">
        <v>62</v>
      </c>
      <c r="C34" s="73" t="s">
        <v>213</v>
      </c>
      <c r="D34" s="74" t="s">
        <v>213</v>
      </c>
      <c r="E34" s="75" t="s">
        <v>213</v>
      </c>
      <c r="F34" s="76" t="s">
        <v>213</v>
      </c>
      <c r="G34" s="77" t="s">
        <v>213</v>
      </c>
      <c r="H34" s="77" t="s">
        <v>213</v>
      </c>
      <c r="I34" s="76" t="s">
        <v>465</v>
      </c>
      <c r="J34" s="76"/>
    </row>
    <row r="35" spans="1:10" ht="22.05" customHeight="1" x14ac:dyDescent="0.3">
      <c r="A35" s="85" t="s">
        <v>63</v>
      </c>
      <c r="B35" s="86" t="s">
        <v>64</v>
      </c>
      <c r="C35" s="87">
        <v>360</v>
      </c>
      <c r="D35" s="88">
        <v>6</v>
      </c>
      <c r="E35" s="89">
        <v>2.8846153846153852E-3</v>
      </c>
      <c r="F35" s="90">
        <v>1</v>
      </c>
      <c r="G35" s="91">
        <v>5600</v>
      </c>
      <c r="H35" s="91">
        <v>933.33</v>
      </c>
      <c r="I35" s="85" t="s">
        <v>467</v>
      </c>
      <c r="J35" s="90"/>
    </row>
    <row r="36" spans="1:10" ht="22.05" customHeight="1" x14ac:dyDescent="0.3">
      <c r="A36" s="92" t="s">
        <v>65</v>
      </c>
      <c r="B36" s="93" t="s">
        <v>66</v>
      </c>
      <c r="C36" s="94">
        <v>180</v>
      </c>
      <c r="D36" s="95">
        <v>3</v>
      </c>
      <c r="E36" s="96">
        <v>1.442307692307692E-3</v>
      </c>
      <c r="F36" s="97">
        <v>1</v>
      </c>
      <c r="G36" s="98">
        <v>1550</v>
      </c>
      <c r="H36" s="98">
        <v>516.66999999999996</v>
      </c>
      <c r="I36" s="92" t="s">
        <v>468</v>
      </c>
      <c r="J36" s="97"/>
    </row>
    <row r="37" spans="1:10" ht="22.05" customHeight="1" x14ac:dyDescent="0.3">
      <c r="A37" s="71" t="s">
        <v>67</v>
      </c>
      <c r="B37" s="72" t="s">
        <v>68</v>
      </c>
      <c r="C37" s="73" t="s">
        <v>213</v>
      </c>
      <c r="D37" s="74" t="s">
        <v>213</v>
      </c>
      <c r="E37" s="75" t="s">
        <v>213</v>
      </c>
      <c r="F37" s="76" t="s">
        <v>213</v>
      </c>
      <c r="G37" s="77" t="s">
        <v>213</v>
      </c>
      <c r="H37" s="77" t="s">
        <v>213</v>
      </c>
      <c r="I37" s="76" t="s">
        <v>465</v>
      </c>
      <c r="J37" s="76"/>
    </row>
    <row r="38" spans="1:10" ht="22.05" customHeight="1" x14ac:dyDescent="0.3">
      <c r="A38" s="92" t="s">
        <v>69</v>
      </c>
      <c r="B38" s="93" t="s">
        <v>70</v>
      </c>
      <c r="C38" s="94">
        <v>180</v>
      </c>
      <c r="D38" s="95">
        <v>3</v>
      </c>
      <c r="E38" s="96">
        <v>1.442307692307692E-3</v>
      </c>
      <c r="F38" s="97">
        <v>1</v>
      </c>
      <c r="G38" s="98">
        <v>2200</v>
      </c>
      <c r="H38" s="98">
        <v>733.33</v>
      </c>
      <c r="I38" s="92" t="s">
        <v>468</v>
      </c>
      <c r="J38" s="97"/>
    </row>
    <row r="39" spans="1:10" ht="24" customHeight="1" x14ac:dyDescent="0.3">
      <c r="A39" s="191" t="s">
        <v>469</v>
      </c>
      <c r="B39" s="125"/>
      <c r="C39" s="99">
        <v>1260</v>
      </c>
      <c r="D39" s="100">
        <v>21</v>
      </c>
      <c r="E39" s="101">
        <v>1.01E-2</v>
      </c>
      <c r="F39" s="102">
        <v>6</v>
      </c>
      <c r="G39" s="103">
        <v>20350</v>
      </c>
      <c r="H39" s="103">
        <v>969.05</v>
      </c>
      <c r="I39" s="187" t="s">
        <v>470</v>
      </c>
      <c r="J39" s="125"/>
    </row>
    <row r="41" spans="1:10" x14ac:dyDescent="0.3">
      <c r="A41" s="104" t="s">
        <v>224</v>
      </c>
      <c r="B41" s="105" t="s">
        <v>465</v>
      </c>
      <c r="C41" s="106" t="s">
        <v>468</v>
      </c>
      <c r="D41" s="107" t="s">
        <v>466</v>
      </c>
      <c r="E41" s="108" t="s">
        <v>467</v>
      </c>
      <c r="F41" s="184" t="s">
        <v>471</v>
      </c>
      <c r="G41" s="125"/>
      <c r="H41" s="125"/>
      <c r="I41" s="125"/>
      <c r="J41" s="125"/>
    </row>
  </sheetData>
  <mergeCells count="28">
    <mergeCell ref="A1:J1"/>
    <mergeCell ref="A26:B26"/>
    <mergeCell ref="C27:D27"/>
    <mergeCell ref="E27:F27"/>
    <mergeCell ref="I39:J39"/>
    <mergeCell ref="E26:F26"/>
    <mergeCell ref="A25:J25"/>
    <mergeCell ref="G26:H26"/>
    <mergeCell ref="C4:D5"/>
    <mergeCell ref="E4:F5"/>
    <mergeCell ref="A39:B39"/>
    <mergeCell ref="A2:J2"/>
    <mergeCell ref="C3:D3"/>
    <mergeCell ref="E3:F3"/>
    <mergeCell ref="F41:J41"/>
    <mergeCell ref="A27:B27"/>
    <mergeCell ref="A3:B3"/>
    <mergeCell ref="G3:H3"/>
    <mergeCell ref="I3:J3"/>
    <mergeCell ref="G27:H27"/>
    <mergeCell ref="I27:J27"/>
    <mergeCell ref="C26:D26"/>
    <mergeCell ref="I26:J26"/>
    <mergeCell ref="A4:B5"/>
    <mergeCell ref="G4:H5"/>
    <mergeCell ref="I4:J5"/>
    <mergeCell ref="A22:C22"/>
    <mergeCell ref="A24:J24"/>
  </mergeCells>
  <conditionalFormatting sqref="J8:J21">
    <cfRule type="expression" dxfId="5" priority="2">
      <formula>J8="✔ Bajo"</formula>
    </cfRule>
    <cfRule type="expression" dxfId="4" priority="3">
      <formula>J8="⚠ Moderado"</formula>
    </cfRule>
    <cfRule type="expression" dxfId="3" priority="4">
      <formula>J8="💰 Alto"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B20"/>
  </sheetPr>
  <dimension ref="A1:J41"/>
  <sheetViews>
    <sheetView showGridLines="0" topLeftCell="A3" zoomScaleNormal="100" workbookViewId="0"/>
  </sheetViews>
  <sheetFormatPr baseColWidth="10" defaultColWidth="8.6640625" defaultRowHeight="14.4" x14ac:dyDescent="0.3"/>
  <cols>
    <col min="1" max="1" width="5" style="1" customWidth="1"/>
    <col min="2" max="2" width="36" style="1" customWidth="1"/>
    <col min="3" max="3" width="12" style="1" customWidth="1"/>
    <col min="4" max="4" width="10" style="1" customWidth="1"/>
    <col min="5" max="5" width="12" style="1" customWidth="1"/>
    <col min="6" max="6" width="10" style="1" customWidth="1"/>
    <col min="7" max="7" width="13" style="1" customWidth="1"/>
    <col min="8" max="8" width="11" style="1" customWidth="1"/>
    <col min="9" max="9" width="13" style="1" customWidth="1"/>
    <col min="10" max="10" width="5" style="1" customWidth="1"/>
  </cols>
  <sheetData>
    <row r="1" spans="1:10" ht="19.5" customHeight="1" x14ac:dyDescent="0.3">
      <c r="A1" s="196" t="s">
        <v>472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19.5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9.5" customHeight="1" x14ac:dyDescent="0.3">
      <c r="A3" s="125"/>
      <c r="B3" s="125"/>
      <c r="C3" s="125"/>
      <c r="D3" s="125"/>
      <c r="E3" s="125"/>
      <c r="F3" s="125"/>
      <c r="G3" s="125"/>
      <c r="H3" s="125"/>
      <c r="I3" s="125"/>
      <c r="J3" s="125"/>
    </row>
    <row r="4" spans="1:10" ht="13.5" customHeight="1" x14ac:dyDescent="0.3">
      <c r="A4" s="125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4.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8" customHeight="1" x14ac:dyDescent="0.3">
      <c r="A6" s="195" t="s">
        <v>473</v>
      </c>
      <c r="B6" s="125"/>
      <c r="C6" s="125"/>
      <c r="D6" s="197" t="s">
        <v>474</v>
      </c>
      <c r="E6" s="125"/>
      <c r="F6" s="195" t="s">
        <v>475</v>
      </c>
      <c r="G6" s="125"/>
      <c r="H6" s="200">
        <f ca="1">TODAY()</f>
        <v>46162</v>
      </c>
      <c r="I6" s="125"/>
    </row>
    <row r="7" spans="1:10" ht="18" customHeight="1" x14ac:dyDescent="0.3">
      <c r="A7" s="202" t="s">
        <v>476</v>
      </c>
      <c r="B7" s="123"/>
      <c r="C7" s="123"/>
      <c r="F7" s="202" t="s">
        <v>477</v>
      </c>
      <c r="G7" s="123"/>
      <c r="H7" s="123"/>
      <c r="I7" s="123"/>
    </row>
    <row r="8" spans="1:10" ht="18" customHeight="1" x14ac:dyDescent="0.3">
      <c r="A8" s="109" t="s">
        <v>3</v>
      </c>
      <c r="B8" s="192" t="str">
        <f>CONFIG!B2</f>
        <v>Industrias Metálicas del Centro S.A. de C.V.</v>
      </c>
      <c r="C8" s="123"/>
      <c r="F8" s="109" t="s">
        <v>478</v>
      </c>
      <c r="G8" s="192" t="s">
        <v>479</v>
      </c>
      <c r="H8" s="123"/>
      <c r="I8" s="123"/>
    </row>
    <row r="9" spans="1:10" ht="18" customHeight="1" x14ac:dyDescent="0.3">
      <c r="A9" s="109" t="s">
        <v>480</v>
      </c>
      <c r="B9" s="192" t="s">
        <v>481</v>
      </c>
      <c r="C9" s="123"/>
      <c r="F9" s="109" t="s">
        <v>480</v>
      </c>
      <c r="G9" s="192" t="s">
        <v>482</v>
      </c>
      <c r="H9" s="123"/>
      <c r="I9" s="123"/>
    </row>
    <row r="10" spans="1:10" ht="18" customHeight="1" x14ac:dyDescent="0.3">
      <c r="A10" s="109" t="s">
        <v>483</v>
      </c>
      <c r="B10" s="192" t="s">
        <v>484</v>
      </c>
      <c r="C10" s="123"/>
      <c r="F10" s="109" t="s">
        <v>485</v>
      </c>
      <c r="G10" s="192" t="s">
        <v>486</v>
      </c>
      <c r="H10" s="123"/>
      <c r="I10" s="123"/>
    </row>
    <row r="11" spans="1:10" ht="18" customHeight="1" x14ac:dyDescent="0.3">
      <c r="A11" s="109" t="s">
        <v>487</v>
      </c>
      <c r="B11" s="192" t="s">
        <v>488</v>
      </c>
      <c r="C11" s="123"/>
      <c r="F11" s="109" t="s">
        <v>483</v>
      </c>
      <c r="G11" s="192" t="s">
        <v>489</v>
      </c>
      <c r="H11" s="123"/>
      <c r="I11" s="123"/>
    </row>
    <row r="13" spans="1:10" ht="6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9.5" customHeight="1" x14ac:dyDescent="0.3">
      <c r="A14" s="193" t="s">
        <v>490</v>
      </c>
      <c r="B14" s="125"/>
      <c r="C14" s="204" t="s">
        <v>52</v>
      </c>
      <c r="D14" s="121"/>
      <c r="E14" s="121"/>
      <c r="F14" s="193" t="s">
        <v>491</v>
      </c>
      <c r="G14" s="125"/>
      <c r="H14" s="204" t="s">
        <v>411</v>
      </c>
      <c r="I14" s="121"/>
    </row>
    <row r="15" spans="1:10" ht="19.5" customHeight="1" x14ac:dyDescent="0.3">
      <c r="A15" s="193" t="s">
        <v>492</v>
      </c>
      <c r="B15" s="125"/>
      <c r="C15" s="204" t="s">
        <v>51</v>
      </c>
      <c r="D15" s="121"/>
      <c r="E15" s="121"/>
      <c r="F15" s="193" t="s">
        <v>493</v>
      </c>
      <c r="G15" s="125"/>
      <c r="H15" s="205">
        <f ca="1">TODAY()+30</f>
        <v>46192</v>
      </c>
      <c r="I15" s="121"/>
    </row>
    <row r="16" spans="1:10" ht="9.75" customHeight="1" x14ac:dyDescent="0.3"/>
    <row r="17" spans="1:10" ht="31.5" customHeight="1" x14ac:dyDescent="0.3">
      <c r="A17" s="16" t="s">
        <v>81</v>
      </c>
      <c r="B17" s="16" t="s">
        <v>494</v>
      </c>
      <c r="C17" s="16" t="s">
        <v>235</v>
      </c>
      <c r="D17" s="16" t="s">
        <v>495</v>
      </c>
      <c r="E17" s="16" t="s">
        <v>496</v>
      </c>
      <c r="F17" s="16" t="s">
        <v>377</v>
      </c>
      <c r="G17" s="16" t="s">
        <v>379</v>
      </c>
      <c r="H17" s="16" t="s">
        <v>497</v>
      </c>
      <c r="I17" s="16" t="s">
        <v>498</v>
      </c>
      <c r="J17" s="16" t="s">
        <v>499</v>
      </c>
    </row>
    <row r="18" spans="1:10" ht="21.75" customHeight="1" x14ac:dyDescent="0.3">
      <c r="A18" s="7">
        <v>1</v>
      </c>
      <c r="B18" s="110" t="s">
        <v>500</v>
      </c>
      <c r="C18" s="111" t="s">
        <v>411</v>
      </c>
      <c r="D18" s="7">
        <v>2</v>
      </c>
      <c r="E18" s="10">
        <v>350</v>
      </c>
      <c r="F18" s="112">
        <v>2</v>
      </c>
      <c r="G18" s="10">
        <f t="shared" ref="G18:G27" si="0">IFERROR(E18*F18,0)</f>
        <v>700</v>
      </c>
      <c r="H18" s="10">
        <f t="shared" ref="H18:H27" si="1">G18*0.16</f>
        <v>112</v>
      </c>
      <c r="I18" s="10">
        <f t="shared" ref="I18:I27" si="2">G18+H18</f>
        <v>812</v>
      </c>
    </row>
    <row r="19" spans="1:10" ht="21.75" customHeight="1" x14ac:dyDescent="0.3">
      <c r="A19" s="11">
        <v>2</v>
      </c>
      <c r="B19" s="113" t="s">
        <v>501</v>
      </c>
      <c r="C19" s="114" t="s">
        <v>411</v>
      </c>
      <c r="D19" s="11">
        <v>1.5</v>
      </c>
      <c r="E19" s="14">
        <v>400</v>
      </c>
      <c r="F19" s="115">
        <v>1.5</v>
      </c>
      <c r="G19" s="14">
        <f t="shared" si="0"/>
        <v>600</v>
      </c>
      <c r="H19" s="14">
        <f t="shared" si="1"/>
        <v>96</v>
      </c>
      <c r="I19" s="14">
        <f t="shared" si="2"/>
        <v>696</v>
      </c>
    </row>
    <row r="20" spans="1:10" ht="21.75" customHeight="1" x14ac:dyDescent="0.3">
      <c r="A20" s="7">
        <v>3</v>
      </c>
      <c r="B20" s="110" t="s">
        <v>502</v>
      </c>
      <c r="C20" s="111" t="s">
        <v>411</v>
      </c>
      <c r="D20" s="7">
        <v>1</v>
      </c>
      <c r="E20" s="10">
        <v>300</v>
      </c>
      <c r="F20" s="112">
        <v>1</v>
      </c>
      <c r="G20" s="10">
        <f t="shared" si="0"/>
        <v>300</v>
      </c>
      <c r="H20" s="10">
        <f t="shared" si="1"/>
        <v>48</v>
      </c>
      <c r="I20" s="10">
        <f t="shared" si="2"/>
        <v>348</v>
      </c>
    </row>
    <row r="21" spans="1:10" ht="21.75" customHeight="1" x14ac:dyDescent="0.3">
      <c r="A21" s="11">
        <v>4</v>
      </c>
      <c r="B21" s="113" t="s">
        <v>503</v>
      </c>
      <c r="C21" s="114" t="s">
        <v>411</v>
      </c>
      <c r="D21" s="11">
        <v>3</v>
      </c>
      <c r="E21" s="14">
        <v>450</v>
      </c>
      <c r="F21" s="115">
        <v>3</v>
      </c>
      <c r="G21" s="14">
        <f t="shared" si="0"/>
        <v>1350</v>
      </c>
      <c r="H21" s="14">
        <f t="shared" si="1"/>
        <v>216</v>
      </c>
      <c r="I21" s="14">
        <f t="shared" si="2"/>
        <v>1566</v>
      </c>
    </row>
    <row r="22" spans="1:10" ht="21.75" customHeight="1" x14ac:dyDescent="0.3">
      <c r="A22" s="7">
        <v>5</v>
      </c>
      <c r="B22" s="110" t="s">
        <v>504</v>
      </c>
      <c r="C22" s="111" t="s">
        <v>411</v>
      </c>
      <c r="D22" s="7">
        <v>1</v>
      </c>
      <c r="E22" s="10">
        <v>300</v>
      </c>
      <c r="F22" s="112">
        <v>1</v>
      </c>
      <c r="G22" s="10">
        <f t="shared" si="0"/>
        <v>300</v>
      </c>
      <c r="H22" s="10">
        <f t="shared" si="1"/>
        <v>48</v>
      </c>
      <c r="I22" s="10">
        <f t="shared" si="2"/>
        <v>348</v>
      </c>
    </row>
    <row r="23" spans="1:10" ht="21.75" customHeight="1" x14ac:dyDescent="0.3">
      <c r="A23" s="11">
        <v>6</v>
      </c>
      <c r="B23" s="113" t="s">
        <v>505</v>
      </c>
      <c r="C23" s="114" t="s">
        <v>506</v>
      </c>
      <c r="D23" s="11"/>
      <c r="E23" s="14">
        <v>15</v>
      </c>
      <c r="F23" s="115">
        <v>2</v>
      </c>
      <c r="G23" s="14">
        <f t="shared" si="0"/>
        <v>30</v>
      </c>
      <c r="H23" s="14">
        <f t="shared" si="1"/>
        <v>4.8</v>
      </c>
      <c r="I23" s="14">
        <f t="shared" si="2"/>
        <v>34.799999999999997</v>
      </c>
    </row>
    <row r="24" spans="1:10" ht="21.75" customHeight="1" x14ac:dyDescent="0.3">
      <c r="A24" s="7">
        <v>7</v>
      </c>
      <c r="B24" s="110" t="s">
        <v>507</v>
      </c>
      <c r="C24" s="111" t="s">
        <v>506</v>
      </c>
      <c r="D24" s="7"/>
      <c r="E24" s="10">
        <v>35</v>
      </c>
      <c r="F24" s="112">
        <v>1</v>
      </c>
      <c r="G24" s="10">
        <f t="shared" si="0"/>
        <v>35</v>
      </c>
      <c r="H24" s="10">
        <f t="shared" si="1"/>
        <v>5.6000000000000005</v>
      </c>
      <c r="I24" s="10">
        <f t="shared" si="2"/>
        <v>40.6</v>
      </c>
    </row>
    <row r="25" spans="1:10" ht="21.75" customHeight="1" x14ac:dyDescent="0.3">
      <c r="A25" s="11">
        <v>8</v>
      </c>
      <c r="B25" s="113" t="s">
        <v>508</v>
      </c>
      <c r="C25" s="114" t="s">
        <v>506</v>
      </c>
      <c r="D25" s="11"/>
      <c r="E25" s="14">
        <v>12</v>
      </c>
      <c r="F25" s="115">
        <v>1</v>
      </c>
      <c r="G25" s="14">
        <f t="shared" si="0"/>
        <v>12</v>
      </c>
      <c r="H25" s="14">
        <f t="shared" si="1"/>
        <v>1.92</v>
      </c>
      <c r="I25" s="14">
        <f t="shared" si="2"/>
        <v>13.92</v>
      </c>
    </row>
    <row r="26" spans="1:10" ht="21.75" customHeight="1" x14ac:dyDescent="0.3">
      <c r="A26" s="7">
        <v>9</v>
      </c>
      <c r="B26" s="110" t="s">
        <v>509</v>
      </c>
      <c r="C26" s="111" t="s">
        <v>506</v>
      </c>
      <c r="D26" s="7"/>
      <c r="E26" s="10">
        <v>2.5</v>
      </c>
      <c r="F26" s="112">
        <v>4</v>
      </c>
      <c r="G26" s="10">
        <f t="shared" si="0"/>
        <v>10</v>
      </c>
      <c r="H26" s="10">
        <f t="shared" si="1"/>
        <v>1.6</v>
      </c>
      <c r="I26" s="10">
        <f t="shared" si="2"/>
        <v>11.6</v>
      </c>
    </row>
    <row r="27" spans="1:10" ht="21.75" customHeight="1" x14ac:dyDescent="0.3">
      <c r="A27" s="11">
        <v>10</v>
      </c>
      <c r="B27" s="113" t="s">
        <v>510</v>
      </c>
      <c r="C27" s="114" t="s">
        <v>411</v>
      </c>
      <c r="D27" s="11">
        <v>1</v>
      </c>
      <c r="E27" s="14">
        <v>350</v>
      </c>
      <c r="F27" s="115">
        <v>1</v>
      </c>
      <c r="G27" s="14">
        <f t="shared" si="0"/>
        <v>350</v>
      </c>
      <c r="H27" s="14">
        <f t="shared" si="1"/>
        <v>56</v>
      </c>
      <c r="I27" s="14">
        <f t="shared" si="2"/>
        <v>406</v>
      </c>
    </row>
    <row r="28" spans="1:10" ht="21.75" customHeight="1" x14ac:dyDescent="0.3">
      <c r="E28" s="201" t="s">
        <v>511</v>
      </c>
      <c r="F28" s="125"/>
      <c r="G28" s="116">
        <f>SUM(G18:G27)</f>
        <v>3687</v>
      </c>
    </row>
    <row r="29" spans="1:10" ht="21.75" customHeight="1" x14ac:dyDescent="0.3">
      <c r="E29" s="201" t="s">
        <v>512</v>
      </c>
      <c r="F29" s="125"/>
      <c r="H29" s="116">
        <f>SUM(H18:H27)</f>
        <v>589.91999999999996</v>
      </c>
    </row>
    <row r="30" spans="1:10" ht="21.75" customHeight="1" x14ac:dyDescent="0.3">
      <c r="E30" s="175" t="s">
        <v>513</v>
      </c>
      <c r="F30" s="125"/>
      <c r="I30" s="117">
        <f>SUM(I18:I27)</f>
        <v>4276.92</v>
      </c>
    </row>
    <row r="32" spans="1:10" ht="9.75" customHeight="1" x14ac:dyDescent="0.3"/>
    <row r="33" spans="1:9" ht="15" customHeight="1" x14ac:dyDescent="0.3">
      <c r="A33" s="199" t="s">
        <v>514</v>
      </c>
      <c r="B33" s="125"/>
      <c r="C33" s="125"/>
      <c r="D33" s="125"/>
      <c r="E33" s="125"/>
      <c r="F33" s="125"/>
      <c r="G33" s="125"/>
      <c r="H33" s="125"/>
      <c r="I33" s="125"/>
    </row>
    <row r="34" spans="1:9" ht="15.75" customHeight="1" x14ac:dyDescent="0.3">
      <c r="A34" s="194" t="s">
        <v>515</v>
      </c>
      <c r="B34" s="125"/>
      <c r="C34" s="125"/>
      <c r="D34" s="125"/>
      <c r="E34" s="125"/>
      <c r="F34" s="125"/>
      <c r="G34" s="125"/>
      <c r="H34" s="125"/>
      <c r="I34" s="125"/>
    </row>
    <row r="35" spans="1:9" ht="15.75" customHeight="1" x14ac:dyDescent="0.3">
      <c r="A35" s="194" t="s">
        <v>319</v>
      </c>
      <c r="B35" s="125"/>
      <c r="C35" s="125"/>
      <c r="D35" s="125"/>
      <c r="E35" s="125"/>
      <c r="F35" s="125"/>
      <c r="G35" s="125"/>
      <c r="H35" s="125"/>
      <c r="I35" s="125"/>
    </row>
    <row r="36" spans="1:9" ht="15.75" customHeight="1" x14ac:dyDescent="0.3">
      <c r="A36" s="194" t="s">
        <v>516</v>
      </c>
      <c r="B36" s="125"/>
      <c r="C36" s="125"/>
      <c r="D36" s="125"/>
      <c r="E36" s="125"/>
      <c r="F36" s="125"/>
      <c r="G36" s="125"/>
      <c r="H36" s="125"/>
      <c r="I36" s="125"/>
    </row>
    <row r="37" spans="1:9" ht="15.75" customHeight="1" x14ac:dyDescent="0.3">
      <c r="A37" s="194" t="s">
        <v>517</v>
      </c>
      <c r="B37" s="125"/>
      <c r="C37" s="125"/>
      <c r="D37" s="125"/>
      <c r="E37" s="125"/>
      <c r="F37" s="125"/>
      <c r="G37" s="125"/>
      <c r="H37" s="125"/>
      <c r="I37" s="125"/>
    </row>
    <row r="39" spans="1:9" ht="9.75" customHeight="1" x14ac:dyDescent="0.3"/>
    <row r="40" spans="1:9" ht="19.5" customHeight="1" x14ac:dyDescent="0.3">
      <c r="A40" s="198" t="s">
        <v>518</v>
      </c>
      <c r="B40" s="125"/>
      <c r="C40" s="125"/>
      <c r="D40" s="125"/>
      <c r="F40" s="198" t="s">
        <v>518</v>
      </c>
      <c r="G40" s="125"/>
      <c r="H40" s="125"/>
      <c r="I40" s="125"/>
    </row>
    <row r="41" spans="1:9" ht="15.75" customHeight="1" x14ac:dyDescent="0.3">
      <c r="A41" s="203" t="s">
        <v>519</v>
      </c>
      <c r="B41" s="125"/>
      <c r="C41" s="125"/>
      <c r="D41" s="125"/>
      <c r="F41" s="203" t="s">
        <v>520</v>
      </c>
      <c r="G41" s="125"/>
      <c r="H41" s="125"/>
      <c r="I41" s="125"/>
    </row>
  </sheetData>
  <mergeCells count="35">
    <mergeCell ref="A41:D41"/>
    <mergeCell ref="B9:C9"/>
    <mergeCell ref="A34:I34"/>
    <mergeCell ref="C15:E15"/>
    <mergeCell ref="G11:I11"/>
    <mergeCell ref="C14:E14"/>
    <mergeCell ref="F41:I41"/>
    <mergeCell ref="A36:I36"/>
    <mergeCell ref="H15:I15"/>
    <mergeCell ref="F14:G14"/>
    <mergeCell ref="H14:I14"/>
    <mergeCell ref="A40:D40"/>
    <mergeCell ref="A33:I33"/>
    <mergeCell ref="H6:I6"/>
    <mergeCell ref="B11:C11"/>
    <mergeCell ref="F15:G15"/>
    <mergeCell ref="E29:F29"/>
    <mergeCell ref="E28:F28"/>
    <mergeCell ref="A35:I35"/>
    <mergeCell ref="B8:C8"/>
    <mergeCell ref="F40:I40"/>
    <mergeCell ref="E30:F30"/>
    <mergeCell ref="F7:I7"/>
    <mergeCell ref="B10:C10"/>
    <mergeCell ref="G9:I9"/>
    <mergeCell ref="A14:B14"/>
    <mergeCell ref="A6:C6"/>
    <mergeCell ref="G10:I10"/>
    <mergeCell ref="A15:B15"/>
    <mergeCell ref="A37:I37"/>
    <mergeCell ref="F6:G6"/>
    <mergeCell ref="A1:J4"/>
    <mergeCell ref="D6:E6"/>
    <mergeCell ref="G8:I8"/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L32"/>
  <sheetViews>
    <sheetView showGridLines="0" topLeftCell="A3" zoomScaleNormal="100" workbookViewId="0">
      <selection activeCell="A16" sqref="A16"/>
    </sheetView>
  </sheetViews>
  <sheetFormatPr baseColWidth="10" defaultColWidth="8.6640625" defaultRowHeight="14.4" x14ac:dyDescent="0.3"/>
  <cols>
    <col min="1" max="1" width="5" style="1" customWidth="1"/>
    <col min="2" max="2" width="36" style="1" customWidth="1"/>
    <col min="3" max="3" width="12" style="1" customWidth="1"/>
    <col min="4" max="4" width="8" style="1" customWidth="1"/>
    <col min="5" max="5" width="12" style="1" customWidth="1"/>
    <col min="6" max="7" width="10" style="1" customWidth="1"/>
    <col min="8" max="8" width="11" style="1" customWidth="1"/>
    <col min="9" max="9" width="13" style="1" customWidth="1"/>
    <col min="10" max="10" width="11" style="1" customWidth="1"/>
    <col min="11" max="11" width="18" style="1" customWidth="1"/>
    <col min="12" max="12" width="5" style="1" customWidth="1"/>
  </cols>
  <sheetData>
    <row r="1" spans="1:12" ht="25.5" customHeight="1" x14ac:dyDescent="0.3">
      <c r="A1" s="176" t="s">
        <v>521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2" ht="15.75" customHeight="1" x14ac:dyDescent="0.3">
      <c r="A2" s="150" t="s">
        <v>522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4" spans="1:12" ht="24" customHeight="1" x14ac:dyDescent="0.3">
      <c r="A4" s="193" t="s">
        <v>523</v>
      </c>
      <c r="B4" s="125"/>
      <c r="C4" s="125"/>
      <c r="D4" s="211" t="s">
        <v>51</v>
      </c>
      <c r="E4" s="212"/>
      <c r="F4" s="212"/>
    </row>
    <row r="5" spans="1:12" ht="24" customHeight="1" x14ac:dyDescent="0.3">
      <c r="A5" s="210" t="str">
        <f>IFERROR(VLOOKUP(D4,tabla_maquinas,3,FALSE()),"Equipo no encontrado")</f>
        <v>Equipo no encontrado</v>
      </c>
      <c r="B5" s="125"/>
      <c r="C5" s="125"/>
      <c r="D5" s="125"/>
      <c r="E5" s="125"/>
      <c r="F5" s="125"/>
    </row>
    <row r="7" spans="1:12" ht="18" customHeight="1" x14ac:dyDescent="0.3">
      <c r="A7" s="138" t="s">
        <v>524</v>
      </c>
      <c r="B7" s="121"/>
      <c r="C7" s="121"/>
      <c r="D7" s="138" t="s">
        <v>525</v>
      </c>
      <c r="E7" s="121"/>
      <c r="F7" s="121"/>
      <c r="G7" s="138" t="s">
        <v>526</v>
      </c>
      <c r="H7" s="121"/>
      <c r="I7" s="121"/>
      <c r="J7" s="138" t="s">
        <v>527</v>
      </c>
      <c r="K7" s="121"/>
      <c r="L7" s="121"/>
    </row>
    <row r="8" spans="1:12" ht="31.5" customHeight="1" x14ac:dyDescent="0.3">
      <c r="A8" s="207">
        <f>COUNTIF(PROGRAMA!B10:B5000,D4)</f>
        <v>4</v>
      </c>
      <c r="B8" s="125"/>
      <c r="C8" s="125"/>
      <c r="D8" s="207">
        <f>SUMIF(PROGRAMA!B10:B5000,D4,PROGRAMA!I10:I5000)</f>
        <v>4</v>
      </c>
      <c r="E8" s="125"/>
      <c r="F8" s="125"/>
      <c r="G8" s="207">
        <f>SUMIF(PROGRAMA!B10:B5000,D4,PROGRAMA!J10:J5000)</f>
        <v>0</v>
      </c>
      <c r="H8" s="125"/>
      <c r="I8" s="125"/>
      <c r="J8" s="207">
        <f>SUMIF(PROGRAMA!B10:B5000,D4,PROGRAMA!K10:K5000)</f>
        <v>0</v>
      </c>
      <c r="K8" s="125"/>
      <c r="L8" s="125"/>
    </row>
    <row r="9" spans="1:12" ht="9.75" customHeight="1" x14ac:dyDescent="0.3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</row>
    <row r="11" spans="1:12" ht="24" customHeight="1" x14ac:dyDescent="0.3">
      <c r="A11" s="144" t="s">
        <v>34</v>
      </c>
      <c r="B11" s="125"/>
      <c r="C11" s="125"/>
      <c r="D11" s="133" t="s">
        <v>35</v>
      </c>
      <c r="E11" s="125"/>
      <c r="F11" s="125"/>
      <c r="G11" s="214" t="s">
        <v>49</v>
      </c>
      <c r="H11" s="125"/>
      <c r="I11" s="125"/>
      <c r="J11" s="209" t="s">
        <v>36</v>
      </c>
      <c r="K11" s="125"/>
      <c r="L11" s="125"/>
    </row>
    <row r="12" spans="1:12" ht="24" customHeight="1" x14ac:dyDescent="0.3">
      <c r="A12" s="213">
        <f>IFERROR(SUMIF(PROGRAMA!B10:B5000,D4,PROGRAMA!I10:I5000)/COUNTIF(PROGRAMA!B10:B5000,D4),0)</f>
        <v>1</v>
      </c>
      <c r="B12" s="125"/>
      <c r="C12" s="125"/>
      <c r="D12" s="215">
        <f>IFERROR((SUMIF(PROGRAMA!B10:B5000,D4,PROGRAMA!I10:I5000)+SUMIF(PROGRAMA!B10:B5000,D4,PROGRAMA!J10:J5000))/(COUNTIF(PROGRAMA!B10:B5000,D4)-SUMIF(PROGRAMA!B10:B5000,D4,PROGRAMA!K10:K5000)),0)</f>
        <v>1</v>
      </c>
      <c r="E12" s="125"/>
      <c r="F12" s="125"/>
      <c r="G12" s="208" t="str">
        <f>IF(A12&gt;=0.9,"✅ ÓPTIMO",IF(A12&gt;=0.75,"⚠ REGULAR","❌ CRÍTICO"))</f>
        <v>✅ ÓPTIMO</v>
      </c>
      <c r="H12" s="125"/>
      <c r="I12" s="125"/>
      <c r="J12" s="216">
        <f>SUMIFS(MANTENIMIENTOS!L:L,MANTENIMIENTOS!N:N,IFERROR(VLOOKUP(D4,tabla_maquinas,3,FALSE()),"X"))+SUMIFS(MANTENIMIENTOS!M:M,MANTENIMIENTOS!N:N,IFERROR(VLOOKUP(D4,tabla_maquinas,3,FALSE()),"X"))</f>
        <v>0</v>
      </c>
      <c r="K12" s="125"/>
      <c r="L12" s="125"/>
    </row>
    <row r="13" spans="1:12" ht="24" customHeight="1" x14ac:dyDescent="0.3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</row>
    <row r="15" spans="1:12" ht="6" customHeight="1" x14ac:dyDescent="0.3"/>
    <row r="16" spans="1:12" ht="19.5" customHeight="1" x14ac:dyDescent="0.3">
      <c r="A16" s="206" t="s">
        <v>528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</row>
    <row r="17" spans="1:12" ht="27.75" customHeight="1" x14ac:dyDescent="0.3">
      <c r="A17" s="16" t="s">
        <v>81</v>
      </c>
      <c r="B17" s="16" t="s">
        <v>83</v>
      </c>
      <c r="C17" s="16" t="s">
        <v>84</v>
      </c>
      <c r="D17" s="16" t="s">
        <v>529</v>
      </c>
      <c r="E17" s="16" t="s">
        <v>530</v>
      </c>
      <c r="F17" s="16" t="s">
        <v>87</v>
      </c>
      <c r="G17" s="16" t="s">
        <v>88</v>
      </c>
      <c r="H17" s="16" t="s">
        <v>89</v>
      </c>
      <c r="I17" s="16" t="s">
        <v>90</v>
      </c>
      <c r="J17" s="16" t="s">
        <v>531</v>
      </c>
      <c r="K17" s="16" t="s">
        <v>532</v>
      </c>
      <c r="L17" s="16" t="s">
        <v>213</v>
      </c>
    </row>
    <row r="18" spans="1:12" ht="19.5" customHeight="1" x14ac:dyDescent="0.3">
      <c r="A18" s="11">
        <v>1</v>
      </c>
      <c r="B18" s="12" t="str">
        <f>IFERROR(INDEX(PROGRAMA!D$10:D$5000,MATCH(1,(PROGRAMA!B$10:B$5000=$D$4)*(ROW(PROGRAMA!D$10:D$5000)-ROW(PROGRAMA!D$10)+1=1),0)),"—")</f>
        <v>—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19.5" customHeight="1" x14ac:dyDescent="0.3">
      <c r="A19" s="7">
        <v>2</v>
      </c>
      <c r="B19" s="8" t="str">
        <f>IFERROR(INDEX(PROGRAMA!D$10:D$5000,MATCH(1,(PROGRAMA!B$10:B$5000=$D$4)*(ROW(PROGRAMA!D$10:D$5000)-ROW(PROGRAMA!D$10)+1=2),0)),"—")</f>
        <v>—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19.5" customHeight="1" x14ac:dyDescent="0.3">
      <c r="A20" s="11">
        <v>3</v>
      </c>
      <c r="B20" s="12" t="str">
        <f>IFERROR(INDEX(PROGRAMA!D$10:D$5000,MATCH(1,(PROGRAMA!B$10:B$5000=$D$4)*(ROW(PROGRAMA!D$10:D$5000)-ROW(PROGRAMA!D$10)+1=3),0)),"—")</f>
        <v>—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9.5" customHeight="1" x14ac:dyDescent="0.3">
      <c r="A21" s="7">
        <v>4</v>
      </c>
      <c r="B21" s="8" t="str">
        <f>IFERROR(INDEX(PROGRAMA!D$10:D$5000,MATCH(1,(PROGRAMA!B$10:B$5000=$D$4)*(ROW(PROGRAMA!D$10:D$5000)-ROW(PROGRAMA!D$10)+1=4),0)),"—")</f>
        <v>—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9.5" customHeight="1" x14ac:dyDescent="0.3">
      <c r="A22" s="11">
        <v>5</v>
      </c>
      <c r="B22" s="12" t="str">
        <f>IFERROR(INDEX(PROGRAMA!D$10:D$5000,MATCH(1,(PROGRAMA!B$10:B$5000=$D$4)*(ROW(PROGRAMA!D$10:D$5000)-ROW(PROGRAMA!D$10)+1=5),0)),"—")</f>
        <v>—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19.5" customHeight="1" x14ac:dyDescent="0.3">
      <c r="A23" s="7">
        <v>6</v>
      </c>
      <c r="B23" s="8" t="str">
        <f>IFERROR(INDEX(PROGRAMA!D$10:D$5000,MATCH(1,(PROGRAMA!B$10:B$5000=$D$4)*(ROW(PROGRAMA!D$10:D$5000)-ROW(PROGRAMA!D$10)+1=6),0)),"—")</f>
        <v>—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9.5" customHeight="1" x14ac:dyDescent="0.3">
      <c r="A24" s="11">
        <v>7</v>
      </c>
      <c r="B24" s="12" t="str">
        <f>IFERROR(INDEX(PROGRAMA!D$10:D$5000,MATCH(1,(PROGRAMA!B$10:B$5000=$D$4)*(ROW(PROGRAMA!D$10:D$5000)-ROW(PROGRAMA!D$10)+1=7),0)),"—")</f>
        <v>—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9.5" customHeight="1" x14ac:dyDescent="0.3">
      <c r="A25" s="7">
        <v>8</v>
      </c>
      <c r="B25" s="8" t="str">
        <f>IFERROR(INDEX(PROGRAMA!D$10:D$5000,MATCH(1,(PROGRAMA!B$10:B$5000=$D$4)*(ROW(PROGRAMA!D$10:D$5000)-ROW(PROGRAMA!D$10)+1=8),0)),"—")</f>
        <v>—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9.5" customHeight="1" x14ac:dyDescent="0.3">
      <c r="A26" s="11">
        <v>9</v>
      </c>
      <c r="B26" s="12" t="str">
        <f>IFERROR(INDEX(PROGRAMA!D$10:D$5000,MATCH(1,(PROGRAMA!B$10:B$5000=$D$4)*(ROW(PROGRAMA!D$10:D$5000)-ROW(PROGRAMA!D$10)+1=9),0)),"—")</f>
        <v>—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9.5" customHeight="1" x14ac:dyDescent="0.3">
      <c r="A27" s="7">
        <v>10</v>
      </c>
      <c r="B27" s="8" t="str">
        <f>IFERROR(INDEX(PROGRAMA!D$10:D$5000,MATCH(1,(PROGRAMA!B$10:B$5000=$D$4)*(ROW(PROGRAMA!D$10:D$5000)-ROW(PROGRAMA!D$10)+1=10),0)),"—")</f>
        <v>—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9.5" customHeight="1" x14ac:dyDescent="0.3">
      <c r="A28" s="11">
        <v>11</v>
      </c>
      <c r="B28" s="12" t="str">
        <f>IFERROR(INDEX(PROGRAMA!D$10:D$5000,MATCH(1,(PROGRAMA!B$10:B$5000=$D$4)*(ROW(PROGRAMA!D$10:D$5000)-ROW(PROGRAMA!D$10)+1=11),0)),"—")</f>
        <v>—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9.5" customHeight="1" x14ac:dyDescent="0.3">
      <c r="A29" s="7">
        <v>12</v>
      </c>
      <c r="B29" s="8" t="str">
        <f>IFERROR(INDEX(PROGRAMA!D$10:D$5000,MATCH(1,(PROGRAMA!B$10:B$5000=$D$4)*(ROW(PROGRAMA!D$10:D$5000)-ROW(PROGRAMA!D$10)+1=12),0)),"—")</f>
        <v>—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9.5" customHeight="1" x14ac:dyDescent="0.3">
      <c r="A30" s="11">
        <v>13</v>
      </c>
      <c r="B30" s="12" t="str">
        <f>IFERROR(INDEX(PROGRAMA!D$10:D$5000,MATCH(1,(PROGRAMA!B$10:B$5000=$D$4)*(ROW(PROGRAMA!D$10:D$5000)-ROW(PROGRAMA!D$10)+1=13),0)),"—")</f>
        <v>—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19.5" customHeight="1" x14ac:dyDescent="0.3">
      <c r="A31" s="7">
        <v>14</v>
      </c>
      <c r="B31" s="8" t="str">
        <f>IFERROR(INDEX(PROGRAMA!D$10:D$5000,MATCH(1,(PROGRAMA!B$10:B$5000=$D$4)*(ROW(PROGRAMA!D$10:D$5000)-ROW(PROGRAMA!D$10)+1=14),0)),"—")</f>
        <v>—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9.5" customHeight="1" x14ac:dyDescent="0.3">
      <c r="A32" s="11">
        <v>15</v>
      </c>
      <c r="B32" s="12" t="str">
        <f>IFERROR(INDEX(PROGRAMA!D$10:D$5000,MATCH(1,(PROGRAMA!B$10:B$5000=$D$4)*(ROW(PROGRAMA!D$10:D$5000)-ROW(PROGRAMA!D$10)+1=15),0)),"—")</f>
        <v>—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</sheetData>
  <mergeCells count="22">
    <mergeCell ref="A1:L1"/>
    <mergeCell ref="A8:C9"/>
    <mergeCell ref="A7:C7"/>
    <mergeCell ref="G7:I7"/>
    <mergeCell ref="J12:L13"/>
    <mergeCell ref="D8:F9"/>
    <mergeCell ref="A2:L2"/>
    <mergeCell ref="A5:F5"/>
    <mergeCell ref="D4:F4"/>
    <mergeCell ref="G8:I9"/>
    <mergeCell ref="A4:C4"/>
    <mergeCell ref="A16:L16"/>
    <mergeCell ref="D11:F11"/>
    <mergeCell ref="J8:L9"/>
    <mergeCell ref="D7:F7"/>
    <mergeCell ref="G12:I13"/>
    <mergeCell ref="J11:L11"/>
    <mergeCell ref="J7:L7"/>
    <mergeCell ref="A12:C13"/>
    <mergeCell ref="G11:I11"/>
    <mergeCell ref="D12:F13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95959"/>
  </sheetPr>
  <dimension ref="A1:K2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5" style="1" customWidth="1"/>
    <col min="2" max="2" width="14" style="1" customWidth="1"/>
    <col min="3" max="3" width="45" style="1" customWidth="1"/>
    <col min="4" max="4" width="14" style="1" customWidth="1"/>
    <col min="6" max="6" width="5" style="1" customWidth="1"/>
    <col min="7" max="8" width="20" style="1" customWidth="1"/>
    <col min="10" max="10" width="12" style="1" customWidth="1"/>
    <col min="11" max="11" width="32" style="1" customWidth="1"/>
  </cols>
  <sheetData>
    <row r="1" spans="1:11" ht="25.5" customHeight="1" x14ac:dyDescent="0.3">
      <c r="A1" s="176" t="s">
        <v>533</v>
      </c>
      <c r="B1" s="121"/>
      <c r="C1" s="121"/>
      <c r="D1" s="121"/>
      <c r="E1" s="121"/>
      <c r="F1" s="121"/>
    </row>
    <row r="2" spans="1:11" ht="15" customHeight="1" x14ac:dyDescent="0.3">
      <c r="A2" s="138" t="s">
        <v>534</v>
      </c>
      <c r="B2" s="121"/>
      <c r="C2" s="121"/>
      <c r="D2" s="121"/>
      <c r="F2" s="138" t="s">
        <v>535</v>
      </c>
      <c r="G2" s="121"/>
      <c r="H2" s="121"/>
      <c r="J2" s="138" t="s">
        <v>536</v>
      </c>
      <c r="K2" s="121"/>
    </row>
    <row r="3" spans="1:11" ht="24" customHeight="1" x14ac:dyDescent="0.3">
      <c r="A3" s="118" t="s">
        <v>81</v>
      </c>
      <c r="B3" s="118" t="s">
        <v>40</v>
      </c>
      <c r="C3" s="118" t="s">
        <v>537</v>
      </c>
      <c r="D3" s="118" t="s">
        <v>235</v>
      </c>
      <c r="F3" s="118" t="s">
        <v>301</v>
      </c>
      <c r="G3" s="118" t="s">
        <v>179</v>
      </c>
      <c r="H3" s="118" t="s">
        <v>538</v>
      </c>
      <c r="J3" s="118" t="s">
        <v>40</v>
      </c>
      <c r="K3" s="118" t="s">
        <v>376</v>
      </c>
    </row>
    <row r="4" spans="1:11" ht="18" customHeight="1" x14ac:dyDescent="0.3">
      <c r="A4" s="7">
        <v>1</v>
      </c>
      <c r="B4" s="7" t="s">
        <v>410</v>
      </c>
      <c r="C4" s="8" t="s">
        <v>92</v>
      </c>
      <c r="D4" s="7" t="s">
        <v>411</v>
      </c>
      <c r="F4" s="7">
        <v>1</v>
      </c>
      <c r="G4" s="7" t="s">
        <v>197</v>
      </c>
      <c r="H4" s="7" t="s">
        <v>245</v>
      </c>
      <c r="J4" s="7" t="s">
        <v>539</v>
      </c>
      <c r="K4" s="8" t="s">
        <v>540</v>
      </c>
    </row>
    <row r="5" spans="1:11" ht="18" customHeight="1" x14ac:dyDescent="0.3">
      <c r="A5" s="11">
        <v>2</v>
      </c>
      <c r="B5" s="11" t="s">
        <v>415</v>
      </c>
      <c r="C5" s="12" t="s">
        <v>98</v>
      </c>
      <c r="D5" s="11" t="s">
        <v>411</v>
      </c>
      <c r="F5" s="11">
        <v>2</v>
      </c>
      <c r="G5" s="11" t="s">
        <v>186</v>
      </c>
      <c r="H5" s="11" t="s">
        <v>254</v>
      </c>
      <c r="J5" s="11" t="s">
        <v>541</v>
      </c>
      <c r="K5" s="12" t="s">
        <v>542</v>
      </c>
    </row>
    <row r="6" spans="1:11" ht="18" customHeight="1" x14ac:dyDescent="0.3">
      <c r="A6" s="7">
        <v>3</v>
      </c>
      <c r="B6" s="7" t="s">
        <v>418</v>
      </c>
      <c r="C6" s="8" t="s">
        <v>102</v>
      </c>
      <c r="D6" s="7" t="s">
        <v>411</v>
      </c>
      <c r="F6" s="7">
        <v>3</v>
      </c>
      <c r="G6" s="7" t="s">
        <v>192</v>
      </c>
      <c r="H6" s="7" t="s">
        <v>268</v>
      </c>
      <c r="J6" s="7" t="s">
        <v>543</v>
      </c>
      <c r="K6" s="8" t="s">
        <v>544</v>
      </c>
    </row>
    <row r="7" spans="1:11" ht="18" customHeight="1" x14ac:dyDescent="0.3">
      <c r="A7" s="11">
        <v>4</v>
      </c>
      <c r="B7" s="11" t="s">
        <v>432</v>
      </c>
      <c r="C7" s="12" t="s">
        <v>113</v>
      </c>
      <c r="D7" s="11" t="s">
        <v>411</v>
      </c>
      <c r="F7" s="11">
        <v>4</v>
      </c>
      <c r="G7" s="11" t="s">
        <v>219</v>
      </c>
      <c r="H7" s="11" t="s">
        <v>281</v>
      </c>
      <c r="J7" s="11" t="s">
        <v>545</v>
      </c>
      <c r="K7" s="12" t="s">
        <v>546</v>
      </c>
    </row>
    <row r="8" spans="1:11" ht="18" customHeight="1" x14ac:dyDescent="0.3">
      <c r="A8" s="7">
        <v>5</v>
      </c>
      <c r="B8" s="7" t="s">
        <v>428</v>
      </c>
      <c r="C8" s="8" t="s">
        <v>108</v>
      </c>
      <c r="D8" s="7" t="s">
        <v>411</v>
      </c>
      <c r="F8" s="7">
        <v>5</v>
      </c>
      <c r="G8" s="7" t="s">
        <v>204</v>
      </c>
      <c r="H8" s="7" t="s">
        <v>547</v>
      </c>
      <c r="J8" s="7" t="s">
        <v>548</v>
      </c>
      <c r="K8" s="8" t="s">
        <v>549</v>
      </c>
    </row>
    <row r="9" spans="1:11" ht="18" customHeight="1" x14ac:dyDescent="0.3">
      <c r="A9" s="11">
        <v>6</v>
      </c>
      <c r="B9" s="11" t="s">
        <v>420</v>
      </c>
      <c r="C9" s="12" t="s">
        <v>95</v>
      </c>
      <c r="D9" s="11" t="s">
        <v>411</v>
      </c>
      <c r="J9" s="11" t="s">
        <v>550</v>
      </c>
      <c r="K9" s="12" t="s">
        <v>551</v>
      </c>
    </row>
    <row r="10" spans="1:11" ht="18" customHeight="1" x14ac:dyDescent="0.3">
      <c r="A10" s="7">
        <v>7</v>
      </c>
      <c r="B10" s="7" t="s">
        <v>412</v>
      </c>
      <c r="C10" s="8" t="s">
        <v>101</v>
      </c>
      <c r="D10" s="7" t="s">
        <v>411</v>
      </c>
      <c r="J10" s="7" t="s">
        <v>552</v>
      </c>
      <c r="K10" s="8" t="s">
        <v>553</v>
      </c>
    </row>
    <row r="11" spans="1:11" ht="18" customHeight="1" x14ac:dyDescent="0.3">
      <c r="A11" s="11">
        <v>8</v>
      </c>
      <c r="B11" s="11" t="s">
        <v>437</v>
      </c>
      <c r="C11" s="12" t="s">
        <v>104</v>
      </c>
      <c r="D11" s="11" t="s">
        <v>411</v>
      </c>
    </row>
    <row r="12" spans="1:11" ht="18" customHeight="1" x14ac:dyDescent="0.3">
      <c r="A12" s="7">
        <v>9</v>
      </c>
      <c r="B12" s="7" t="s">
        <v>419</v>
      </c>
      <c r="C12" s="8" t="s">
        <v>106</v>
      </c>
      <c r="D12" s="7" t="s">
        <v>411</v>
      </c>
    </row>
    <row r="13" spans="1:11" ht="18" customHeight="1" x14ac:dyDescent="0.3">
      <c r="A13" s="11">
        <v>10</v>
      </c>
      <c r="B13" s="11" t="s">
        <v>429</v>
      </c>
      <c r="C13" s="12" t="s">
        <v>115</v>
      </c>
      <c r="D13" s="11" t="s">
        <v>411</v>
      </c>
    </row>
    <row r="14" spans="1:11" ht="18" customHeight="1" x14ac:dyDescent="0.3">
      <c r="A14" s="7">
        <v>11</v>
      </c>
      <c r="B14" s="7" t="s">
        <v>423</v>
      </c>
      <c r="C14" s="8" t="s">
        <v>424</v>
      </c>
      <c r="D14" s="7" t="s">
        <v>425</v>
      </c>
    </row>
    <row r="15" spans="1:11" ht="18" customHeight="1" x14ac:dyDescent="0.3">
      <c r="A15" s="11">
        <v>12</v>
      </c>
      <c r="B15" s="11" t="s">
        <v>430</v>
      </c>
      <c r="C15" s="12" t="s">
        <v>431</v>
      </c>
      <c r="D15" s="11" t="s">
        <v>425</v>
      </c>
    </row>
    <row r="16" spans="1:11" ht="18" customHeight="1" x14ac:dyDescent="0.3">
      <c r="A16" s="7">
        <v>13</v>
      </c>
      <c r="B16" s="7" t="s">
        <v>435</v>
      </c>
      <c r="C16" s="8" t="s">
        <v>436</v>
      </c>
      <c r="D16" s="7" t="s">
        <v>425</v>
      </c>
    </row>
    <row r="17" spans="1:4" ht="18" customHeight="1" x14ac:dyDescent="0.3">
      <c r="A17" s="11">
        <v>14</v>
      </c>
      <c r="B17" s="11" t="s">
        <v>426</v>
      </c>
      <c r="C17" s="12" t="s">
        <v>427</v>
      </c>
      <c r="D17" s="11" t="s">
        <v>411</v>
      </c>
    </row>
    <row r="18" spans="1:4" ht="18" customHeight="1" x14ac:dyDescent="0.3">
      <c r="A18" s="7">
        <v>15</v>
      </c>
      <c r="B18" s="7" t="s">
        <v>413</v>
      </c>
      <c r="C18" s="8" t="s">
        <v>414</v>
      </c>
      <c r="D18" s="7" t="s">
        <v>411</v>
      </c>
    </row>
    <row r="19" spans="1:4" ht="18" customHeight="1" x14ac:dyDescent="0.3">
      <c r="A19" s="11">
        <v>16</v>
      </c>
      <c r="B19" s="11" t="s">
        <v>433</v>
      </c>
      <c r="C19" s="12" t="s">
        <v>434</v>
      </c>
      <c r="D19" s="11" t="s">
        <v>425</v>
      </c>
    </row>
    <row r="20" spans="1:4" ht="18" customHeight="1" x14ac:dyDescent="0.3">
      <c r="A20" s="7">
        <v>17</v>
      </c>
      <c r="B20" s="7" t="s">
        <v>416</v>
      </c>
      <c r="C20" s="8" t="s">
        <v>417</v>
      </c>
      <c r="D20" s="7" t="s">
        <v>411</v>
      </c>
    </row>
    <row r="21" spans="1:4" ht="18" customHeight="1" x14ac:dyDescent="0.3">
      <c r="A21" s="11">
        <v>18</v>
      </c>
      <c r="B21" s="11" t="s">
        <v>421</v>
      </c>
      <c r="C21" s="12" t="s">
        <v>422</v>
      </c>
      <c r="D21" s="11" t="s">
        <v>411</v>
      </c>
    </row>
  </sheetData>
  <mergeCells count="4">
    <mergeCell ref="J2:K2"/>
    <mergeCell ref="A1:F1"/>
    <mergeCell ref="F2:H2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K22"/>
  <sheetViews>
    <sheetView showGridLines="0" zoomScaleNormal="100" workbookViewId="0">
      <pane ySplit="6" topLeftCell="A14" activePane="bottomLeft" state="frozen"/>
      <selection pane="bottomLeft" activeCell="G15" sqref="G15"/>
    </sheetView>
  </sheetViews>
  <sheetFormatPr baseColWidth="10" defaultColWidth="8.6640625" defaultRowHeight="14.4" x14ac:dyDescent="0.3"/>
  <cols>
    <col min="1" max="1" width="5" style="1" customWidth="1"/>
    <col min="2" max="2" width="12" style="1" customWidth="1"/>
    <col min="3" max="3" width="32" style="1" customWidth="1"/>
    <col min="4" max="4" width="14" style="1" customWidth="1"/>
    <col min="5" max="6" width="10" style="1" customWidth="1"/>
    <col min="7" max="7" width="11" style="1" customWidth="1"/>
    <col min="8" max="8" width="12" style="1" customWidth="1"/>
    <col min="9" max="9" width="13" style="1" customWidth="1"/>
    <col min="10" max="10" width="14" style="1" customWidth="1"/>
    <col min="11" max="11" width="16" style="1" customWidth="1"/>
  </cols>
  <sheetData>
    <row r="1" spans="1:11" ht="25.5" customHeight="1" x14ac:dyDescent="0.3">
      <c r="A1" s="176" t="s">
        <v>554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18" customHeight="1" x14ac:dyDescent="0.3">
      <c r="A2" s="150" t="s">
        <v>555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ht="21.75" customHeight="1" x14ac:dyDescent="0.3">
      <c r="A3" s="149" t="s">
        <v>556</v>
      </c>
      <c r="B3" s="121"/>
      <c r="C3" s="121"/>
      <c r="D3" s="138" t="s">
        <v>557</v>
      </c>
      <c r="E3" s="121"/>
      <c r="F3" s="121"/>
      <c r="G3" s="131" t="s">
        <v>558</v>
      </c>
      <c r="H3" s="121"/>
      <c r="I3" s="121"/>
      <c r="J3" s="139" t="s">
        <v>559</v>
      </c>
      <c r="K3" s="121"/>
    </row>
    <row r="4" spans="1:11" ht="21.75" customHeight="1" x14ac:dyDescent="0.3">
      <c r="A4" s="218">
        <f>SUM(I7:I206)</f>
        <v>5721.5</v>
      </c>
      <c r="B4" s="125"/>
      <c r="C4" s="125"/>
      <c r="D4" s="207">
        <f>COUNTA(B7:B206)</f>
        <v>15</v>
      </c>
      <c r="E4" s="125"/>
      <c r="F4" s="125"/>
      <c r="G4" s="219">
        <f>COUNTIF(J7:J206,"⚠ BAJO")</f>
        <v>1</v>
      </c>
      <c r="H4" s="125"/>
      <c r="I4" s="125"/>
      <c r="J4" s="217">
        <f>COUNTIF(J7:J206,"✘ AGOTADO")</f>
        <v>0</v>
      </c>
      <c r="K4" s="125"/>
    </row>
    <row r="5" spans="1:11" ht="21.75" customHeight="1" x14ac:dyDescent="0.3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</row>
    <row r="6" spans="1:11" ht="30" customHeight="1" x14ac:dyDescent="0.3">
      <c r="A6" s="16" t="s">
        <v>81</v>
      </c>
      <c r="B6" s="16" t="s">
        <v>40</v>
      </c>
      <c r="C6" s="16" t="s">
        <v>376</v>
      </c>
      <c r="D6" s="16" t="s">
        <v>560</v>
      </c>
      <c r="E6" s="16" t="s">
        <v>561</v>
      </c>
      <c r="F6" s="16" t="s">
        <v>562</v>
      </c>
      <c r="G6" s="16" t="s">
        <v>563</v>
      </c>
      <c r="H6" s="16" t="s">
        <v>378</v>
      </c>
      <c r="I6" s="16" t="s">
        <v>564</v>
      </c>
      <c r="J6" s="16" t="s">
        <v>87</v>
      </c>
      <c r="K6" s="16" t="s">
        <v>237</v>
      </c>
    </row>
    <row r="7" spans="1:11" ht="19.5" customHeight="1" x14ac:dyDescent="0.3">
      <c r="A7" s="7">
        <v>1</v>
      </c>
      <c r="B7" s="7" t="s">
        <v>382</v>
      </c>
      <c r="C7" s="8" t="s">
        <v>383</v>
      </c>
      <c r="D7" s="7" t="s">
        <v>565</v>
      </c>
      <c r="E7" s="7" t="s">
        <v>566</v>
      </c>
      <c r="F7" s="7">
        <v>5</v>
      </c>
      <c r="G7" s="7">
        <v>12</v>
      </c>
      <c r="H7" s="10">
        <v>15</v>
      </c>
      <c r="I7" s="64">
        <f t="shared" ref="I7:I21" si="0">G7*H7</f>
        <v>180</v>
      </c>
      <c r="J7" s="61" t="str">
        <f t="shared" ref="J7:J21" si="1">IF(G7=0,"✘ AGOTADO",IF(G7&lt;F7,"⚠ BAJO","✔ OK"))</f>
        <v>✔ OK</v>
      </c>
      <c r="K7" s="7" t="s">
        <v>567</v>
      </c>
    </row>
    <row r="8" spans="1:11" ht="19.5" customHeight="1" x14ac:dyDescent="0.3">
      <c r="A8" s="11">
        <v>2</v>
      </c>
      <c r="B8" s="11" t="s">
        <v>392</v>
      </c>
      <c r="C8" s="12" t="s">
        <v>393</v>
      </c>
      <c r="D8" s="11" t="s">
        <v>568</v>
      </c>
      <c r="E8" s="11" t="s">
        <v>569</v>
      </c>
      <c r="F8" s="11">
        <v>4</v>
      </c>
      <c r="G8" s="11">
        <v>6</v>
      </c>
      <c r="H8" s="14">
        <v>25</v>
      </c>
      <c r="I8" s="65">
        <f t="shared" si="0"/>
        <v>150</v>
      </c>
      <c r="J8" s="63" t="str">
        <f t="shared" si="1"/>
        <v>✔ OK</v>
      </c>
      <c r="K8" s="11" t="s">
        <v>570</v>
      </c>
    </row>
    <row r="9" spans="1:11" ht="19.5" customHeight="1" x14ac:dyDescent="0.3">
      <c r="A9" s="7">
        <v>3</v>
      </c>
      <c r="B9" s="7" t="s">
        <v>398</v>
      </c>
      <c r="C9" s="8" t="s">
        <v>399</v>
      </c>
      <c r="D9" s="7" t="s">
        <v>571</v>
      </c>
      <c r="E9" s="7" t="s">
        <v>569</v>
      </c>
      <c r="F9" s="7">
        <v>6</v>
      </c>
      <c r="G9" s="7">
        <v>8</v>
      </c>
      <c r="H9" s="10">
        <v>45</v>
      </c>
      <c r="I9" s="64">
        <f t="shared" si="0"/>
        <v>360</v>
      </c>
      <c r="J9" s="61" t="str">
        <f t="shared" si="1"/>
        <v>✔ OK</v>
      </c>
      <c r="K9" s="7" t="s">
        <v>572</v>
      </c>
    </row>
    <row r="10" spans="1:11" ht="19.5" customHeight="1" x14ac:dyDescent="0.3">
      <c r="A10" s="11">
        <v>4</v>
      </c>
      <c r="B10" s="11" t="s">
        <v>402</v>
      </c>
      <c r="C10" s="12" t="s">
        <v>403</v>
      </c>
      <c r="D10" s="11" t="s">
        <v>573</v>
      </c>
      <c r="E10" s="11" t="s">
        <v>569</v>
      </c>
      <c r="F10" s="11">
        <v>4</v>
      </c>
      <c r="G10" s="11">
        <v>5</v>
      </c>
      <c r="H10" s="14">
        <v>18</v>
      </c>
      <c r="I10" s="65">
        <f t="shared" si="0"/>
        <v>90</v>
      </c>
      <c r="J10" s="63" t="str">
        <f t="shared" si="1"/>
        <v>✔ OK</v>
      </c>
      <c r="K10" s="11" t="s">
        <v>574</v>
      </c>
    </row>
    <row r="11" spans="1:11" ht="19.5" customHeight="1" x14ac:dyDescent="0.3">
      <c r="A11" s="7">
        <v>5</v>
      </c>
      <c r="B11" s="7" t="s">
        <v>385</v>
      </c>
      <c r="C11" s="8" t="s">
        <v>386</v>
      </c>
      <c r="D11" s="7" t="s">
        <v>565</v>
      </c>
      <c r="E11" s="7" t="s">
        <v>575</v>
      </c>
      <c r="F11" s="7">
        <v>3</v>
      </c>
      <c r="G11" s="7">
        <v>7</v>
      </c>
      <c r="H11" s="10">
        <v>12</v>
      </c>
      <c r="I11" s="64">
        <f t="shared" si="0"/>
        <v>84</v>
      </c>
      <c r="J11" s="61" t="str">
        <f t="shared" si="1"/>
        <v>✔ OK</v>
      </c>
      <c r="K11" s="7" t="s">
        <v>567</v>
      </c>
    </row>
    <row r="12" spans="1:11" ht="19.5" customHeight="1" x14ac:dyDescent="0.3">
      <c r="A12" s="11">
        <v>6</v>
      </c>
      <c r="B12" s="11" t="s">
        <v>394</v>
      </c>
      <c r="C12" s="12" t="s">
        <v>395</v>
      </c>
      <c r="D12" s="11" t="s">
        <v>281</v>
      </c>
      <c r="E12" s="11" t="s">
        <v>569</v>
      </c>
      <c r="F12" s="11">
        <v>10</v>
      </c>
      <c r="G12" s="11">
        <v>25</v>
      </c>
      <c r="H12" s="14">
        <v>2.5</v>
      </c>
      <c r="I12" s="65">
        <f t="shared" si="0"/>
        <v>62.5</v>
      </c>
      <c r="J12" s="63" t="str">
        <f t="shared" si="1"/>
        <v>✔ OK</v>
      </c>
      <c r="K12" s="11" t="s">
        <v>576</v>
      </c>
    </row>
    <row r="13" spans="1:11" ht="19.5" customHeight="1" x14ac:dyDescent="0.3">
      <c r="A13" s="7">
        <v>7</v>
      </c>
      <c r="B13" s="7" t="s">
        <v>387</v>
      </c>
      <c r="C13" s="8" t="s">
        <v>388</v>
      </c>
      <c r="D13" s="7" t="s">
        <v>547</v>
      </c>
      <c r="E13" s="7" t="s">
        <v>577</v>
      </c>
      <c r="F13" s="7">
        <v>5</v>
      </c>
      <c r="G13" s="7">
        <v>3</v>
      </c>
      <c r="H13" s="10">
        <v>22</v>
      </c>
      <c r="I13" s="64">
        <f t="shared" si="0"/>
        <v>66</v>
      </c>
      <c r="J13" s="61" t="str">
        <f t="shared" si="1"/>
        <v>⚠ BAJO</v>
      </c>
      <c r="K13" s="7" t="s">
        <v>578</v>
      </c>
    </row>
    <row r="14" spans="1:11" ht="19.5" customHeight="1" x14ac:dyDescent="0.3">
      <c r="A14" s="11">
        <v>8</v>
      </c>
      <c r="B14" s="11" t="s">
        <v>390</v>
      </c>
      <c r="C14" s="12" t="s">
        <v>391</v>
      </c>
      <c r="D14" s="11" t="s">
        <v>579</v>
      </c>
      <c r="E14" s="11" t="s">
        <v>569</v>
      </c>
      <c r="F14" s="11">
        <v>4</v>
      </c>
      <c r="G14" s="11">
        <v>4</v>
      </c>
      <c r="H14" s="14">
        <v>65</v>
      </c>
      <c r="I14" s="65">
        <f t="shared" si="0"/>
        <v>260</v>
      </c>
      <c r="J14" s="63" t="str">
        <f t="shared" si="1"/>
        <v>✔ OK</v>
      </c>
      <c r="K14" s="11" t="s">
        <v>580</v>
      </c>
    </row>
    <row r="15" spans="1:11" ht="19.5" customHeight="1" x14ac:dyDescent="0.3">
      <c r="A15" s="7">
        <v>9</v>
      </c>
      <c r="B15" s="7" t="s">
        <v>396</v>
      </c>
      <c r="C15" s="8" t="s">
        <v>397</v>
      </c>
      <c r="D15" s="7" t="s">
        <v>281</v>
      </c>
      <c r="E15" s="7" t="s">
        <v>577</v>
      </c>
      <c r="F15" s="7">
        <v>20</v>
      </c>
      <c r="G15" s="7">
        <v>50</v>
      </c>
      <c r="H15" s="10">
        <v>1.8</v>
      </c>
      <c r="I15" s="64">
        <f t="shared" si="0"/>
        <v>90</v>
      </c>
      <c r="J15" s="61" t="str">
        <f t="shared" si="1"/>
        <v>✔ OK</v>
      </c>
      <c r="K15" s="7" t="s">
        <v>576</v>
      </c>
    </row>
    <row r="16" spans="1:11" ht="19.5" customHeight="1" x14ac:dyDescent="0.3">
      <c r="A16" s="11">
        <v>10</v>
      </c>
      <c r="B16" s="11" t="s">
        <v>400</v>
      </c>
      <c r="C16" s="12" t="s">
        <v>401</v>
      </c>
      <c r="D16" s="11" t="s">
        <v>581</v>
      </c>
      <c r="E16" s="11" t="s">
        <v>569</v>
      </c>
      <c r="F16" s="11">
        <v>20</v>
      </c>
      <c r="G16" s="11">
        <v>45</v>
      </c>
      <c r="H16" s="14">
        <v>0.85</v>
      </c>
      <c r="I16" s="65">
        <f t="shared" si="0"/>
        <v>38.25</v>
      </c>
      <c r="J16" s="63" t="str">
        <f t="shared" si="1"/>
        <v>✔ OK</v>
      </c>
      <c r="K16" s="11" t="s">
        <v>582</v>
      </c>
    </row>
    <row r="17" spans="1:11" ht="15" customHeight="1" x14ac:dyDescent="0.3">
      <c r="A17" s="66">
        <v>11</v>
      </c>
      <c r="B17" s="1" t="s">
        <v>583</v>
      </c>
      <c r="C17" s="1" t="s">
        <v>584</v>
      </c>
      <c r="D17" s="1" t="s">
        <v>568</v>
      </c>
      <c r="E17" s="1" t="s">
        <v>569</v>
      </c>
      <c r="F17" s="1">
        <v>4</v>
      </c>
      <c r="G17" s="1">
        <v>8</v>
      </c>
      <c r="H17" s="1">
        <v>35</v>
      </c>
      <c r="I17" s="67">
        <f t="shared" si="0"/>
        <v>280</v>
      </c>
      <c r="J17" s="1" t="str">
        <f t="shared" si="1"/>
        <v>✔ OK</v>
      </c>
      <c r="K17" s="1" t="s">
        <v>585</v>
      </c>
    </row>
    <row r="18" spans="1:11" ht="14.25" customHeight="1" x14ac:dyDescent="0.3">
      <c r="A18" s="1">
        <v>12</v>
      </c>
      <c r="B18" s="1" t="s">
        <v>586</v>
      </c>
      <c r="C18" s="1" t="s">
        <v>587</v>
      </c>
      <c r="D18" s="1" t="s">
        <v>547</v>
      </c>
      <c r="E18" s="1" t="s">
        <v>569</v>
      </c>
      <c r="F18" s="1">
        <v>2</v>
      </c>
      <c r="G18" s="1">
        <v>4</v>
      </c>
      <c r="H18" s="1">
        <v>85</v>
      </c>
      <c r="I18" s="1">
        <f t="shared" si="0"/>
        <v>340</v>
      </c>
      <c r="J18" s="1" t="str">
        <f t="shared" si="1"/>
        <v>✔ OK</v>
      </c>
      <c r="K18" s="1" t="s">
        <v>588</v>
      </c>
    </row>
    <row r="19" spans="1:11" ht="14.25" customHeight="1" x14ac:dyDescent="0.3">
      <c r="A19" s="1">
        <v>13</v>
      </c>
      <c r="B19" s="1" t="s">
        <v>589</v>
      </c>
      <c r="C19" s="1" t="s">
        <v>590</v>
      </c>
      <c r="D19" s="1" t="s">
        <v>579</v>
      </c>
      <c r="E19" s="1" t="s">
        <v>591</v>
      </c>
      <c r="F19" s="1">
        <v>3</v>
      </c>
      <c r="G19" s="1">
        <v>5</v>
      </c>
      <c r="H19" s="1">
        <v>45</v>
      </c>
      <c r="I19" s="1">
        <f t="shared" si="0"/>
        <v>225</v>
      </c>
      <c r="J19" s="1" t="str">
        <f t="shared" si="1"/>
        <v>✔ OK</v>
      </c>
      <c r="K19" s="1" t="s">
        <v>592</v>
      </c>
    </row>
    <row r="20" spans="1:11" ht="14.25" customHeight="1" x14ac:dyDescent="0.3">
      <c r="A20" s="1">
        <v>14</v>
      </c>
      <c r="B20" s="1" t="s">
        <v>593</v>
      </c>
      <c r="C20" s="1" t="s">
        <v>594</v>
      </c>
      <c r="D20" s="1" t="s">
        <v>565</v>
      </c>
      <c r="E20" s="1" t="s">
        <v>566</v>
      </c>
      <c r="F20" s="1">
        <v>10</v>
      </c>
      <c r="G20" s="1">
        <v>20</v>
      </c>
      <c r="H20" s="1">
        <v>18</v>
      </c>
      <c r="I20" s="1">
        <f t="shared" si="0"/>
        <v>360</v>
      </c>
      <c r="J20" s="1" t="str">
        <f t="shared" si="1"/>
        <v>✔ OK</v>
      </c>
      <c r="K20" s="1" t="s">
        <v>570</v>
      </c>
    </row>
    <row r="21" spans="1:11" ht="14.25" customHeight="1" x14ac:dyDescent="0.3">
      <c r="A21" s="1">
        <v>15</v>
      </c>
      <c r="B21" s="1" t="s">
        <v>595</v>
      </c>
      <c r="C21" s="1" t="s">
        <v>596</v>
      </c>
      <c r="D21" s="1" t="s">
        <v>281</v>
      </c>
      <c r="E21" s="1" t="s">
        <v>569</v>
      </c>
      <c r="F21" s="1">
        <v>2</v>
      </c>
      <c r="G21" s="1">
        <v>5</v>
      </c>
      <c r="H21" s="1">
        <v>55</v>
      </c>
      <c r="I21" s="1">
        <f t="shared" si="0"/>
        <v>275</v>
      </c>
      <c r="J21" s="1" t="str">
        <f t="shared" si="1"/>
        <v>✔ OK</v>
      </c>
      <c r="K21" s="1" t="s">
        <v>578</v>
      </c>
    </row>
    <row r="22" spans="1:11" ht="14.25" customHeight="1" x14ac:dyDescent="0.3">
      <c r="C22" s="1" t="s">
        <v>597</v>
      </c>
      <c r="I22" s="1">
        <f>SUM(I7:I21)</f>
        <v>2860.75</v>
      </c>
    </row>
  </sheetData>
  <mergeCells count="10">
    <mergeCell ref="A1:K1"/>
    <mergeCell ref="J3:K3"/>
    <mergeCell ref="J4:K5"/>
    <mergeCell ref="A2:K2"/>
    <mergeCell ref="D3:F3"/>
    <mergeCell ref="A3:C3"/>
    <mergeCell ref="G3:I3"/>
    <mergeCell ref="A4:C5"/>
    <mergeCell ref="D4:F5"/>
    <mergeCell ref="G4:I5"/>
  </mergeCells>
  <conditionalFormatting sqref="J7:J16">
    <cfRule type="expression" dxfId="2" priority="2">
      <formula>J7="✔ OK"</formula>
    </cfRule>
    <cfRule type="expression" dxfId="1" priority="3">
      <formula>J7="⚠ BAJO"</formula>
    </cfRule>
    <cfRule type="expression" dxfId="0" priority="4">
      <formula>J7="✘ AGOTADO"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zoomScaleNormal="100" workbookViewId="0"/>
  </sheetViews>
  <sheetFormatPr baseColWidth="10" defaultColWidth="8.6640625" defaultRowHeight="14.4" x14ac:dyDescent="0.3"/>
  <sheetData>
    <row r="1" spans="1:2" ht="15" customHeight="1" x14ac:dyDescent="0.3">
      <c r="A1" s="119" t="s">
        <v>303</v>
      </c>
      <c r="B1" s="119" t="s">
        <v>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/>
  </sheetViews>
  <sheetFormatPr baseColWidth="10" defaultColWidth="8.6640625" defaultRowHeight="14.4" x14ac:dyDescent="0.3"/>
  <sheetData>
    <row r="1" spans="1:10" ht="15" customHeight="1" x14ac:dyDescent="0.3">
      <c r="A1" s="119" t="s">
        <v>599</v>
      </c>
      <c r="B1" s="1" t="s">
        <v>600</v>
      </c>
      <c r="D1" s="119" t="s">
        <v>601</v>
      </c>
      <c r="E1" s="119" t="s">
        <v>602</v>
      </c>
      <c r="F1" s="119" t="s">
        <v>603</v>
      </c>
      <c r="G1" s="119" t="s">
        <v>604</v>
      </c>
      <c r="H1" s="119" t="s">
        <v>605</v>
      </c>
      <c r="I1" s="119" t="s">
        <v>606</v>
      </c>
      <c r="J1" s="119" t="s">
        <v>607</v>
      </c>
    </row>
    <row r="2" spans="1:10" ht="15" customHeight="1" x14ac:dyDescent="0.3">
      <c r="A2" s="119" t="s">
        <v>3</v>
      </c>
      <c r="B2" s="1" t="s">
        <v>479</v>
      </c>
      <c r="D2" s="1" t="s">
        <v>247</v>
      </c>
      <c r="E2" s="1" t="s">
        <v>411</v>
      </c>
      <c r="F2" s="1" t="s">
        <v>100</v>
      </c>
      <c r="G2" s="1" t="s">
        <v>43</v>
      </c>
      <c r="H2" s="1" t="s">
        <v>197</v>
      </c>
      <c r="I2" s="1" t="s">
        <v>245</v>
      </c>
      <c r="J2" s="1" t="s">
        <v>243</v>
      </c>
    </row>
    <row r="3" spans="1:10" ht="15" customHeight="1" x14ac:dyDescent="0.3">
      <c r="A3" s="119" t="s">
        <v>4</v>
      </c>
      <c r="B3" s="1" t="s">
        <v>608</v>
      </c>
      <c r="D3" s="1" t="s">
        <v>609</v>
      </c>
      <c r="E3" s="1" t="s">
        <v>425</v>
      </c>
      <c r="F3" s="1" t="s">
        <v>97</v>
      </c>
      <c r="G3" s="1" t="s">
        <v>44</v>
      </c>
      <c r="H3" s="1" t="s">
        <v>186</v>
      </c>
      <c r="I3" s="1" t="s">
        <v>254</v>
      </c>
      <c r="J3" s="1" t="s">
        <v>252</v>
      </c>
    </row>
    <row r="4" spans="1:10" ht="15" customHeight="1" x14ac:dyDescent="0.3">
      <c r="A4" s="119" t="s">
        <v>5</v>
      </c>
      <c r="B4" s="1" t="s">
        <v>319</v>
      </c>
      <c r="D4" s="1" t="s">
        <v>610</v>
      </c>
      <c r="F4" s="1" t="s">
        <v>94</v>
      </c>
      <c r="G4" s="1" t="s">
        <v>45</v>
      </c>
      <c r="H4" s="1" t="s">
        <v>192</v>
      </c>
      <c r="I4" s="1" t="s">
        <v>268</v>
      </c>
      <c r="J4" s="1" t="s">
        <v>257</v>
      </c>
    </row>
    <row r="5" spans="1:10" ht="15" customHeight="1" x14ac:dyDescent="0.3">
      <c r="A5" s="119" t="s">
        <v>6</v>
      </c>
      <c r="B5" s="1">
        <v>2025</v>
      </c>
      <c r="F5" s="1" t="s">
        <v>109</v>
      </c>
      <c r="G5" s="1" t="s">
        <v>46</v>
      </c>
      <c r="I5" s="1" t="s">
        <v>263</v>
      </c>
      <c r="J5" s="1" t="s">
        <v>261</v>
      </c>
    </row>
    <row r="6" spans="1:10" ht="15" customHeight="1" x14ac:dyDescent="0.3">
      <c r="A6" s="119" t="s">
        <v>611</v>
      </c>
      <c r="B6" s="1">
        <v>0.9</v>
      </c>
      <c r="F6" s="1" t="s">
        <v>124</v>
      </c>
      <c r="I6" s="1" t="s">
        <v>273</v>
      </c>
      <c r="J6" s="1" t="s">
        <v>266</v>
      </c>
    </row>
    <row r="7" spans="1:10" ht="15" customHeight="1" x14ac:dyDescent="0.3">
      <c r="A7" s="119" t="s">
        <v>612</v>
      </c>
      <c r="B7" s="1">
        <v>0.8</v>
      </c>
      <c r="F7" s="1" t="s">
        <v>613</v>
      </c>
      <c r="I7" s="1" t="s">
        <v>278</v>
      </c>
      <c r="J7" s="1" t="s">
        <v>271</v>
      </c>
    </row>
    <row r="8" spans="1:10" ht="15" customHeight="1" x14ac:dyDescent="0.3">
      <c r="F8" s="1" t="s">
        <v>614</v>
      </c>
      <c r="I8" s="1" t="s">
        <v>283</v>
      </c>
      <c r="J8" s="1" t="s">
        <v>276</v>
      </c>
    </row>
    <row r="9" spans="1:10" ht="15" customHeight="1" x14ac:dyDescent="0.3">
      <c r="I9" s="1" t="s">
        <v>288</v>
      </c>
      <c r="J9" s="1" t="s">
        <v>281</v>
      </c>
    </row>
    <row r="10" spans="1:10" ht="15" customHeight="1" x14ac:dyDescent="0.3">
      <c r="J10" s="1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PORTADA</vt:lpstr>
      <vt:lpstr>DASHBOARD</vt:lpstr>
      <vt:lpstr>PROGRAMA</vt:lpstr>
      <vt:lpstr>PROG_CM</vt:lpstr>
      <vt:lpstr>MAQUINAS</vt:lpstr>
      <vt:lpstr>MANTENIMIENTOS</vt:lpstr>
      <vt:lpstr>PM</vt:lpstr>
      <vt:lpstr>AM</vt:lpstr>
      <vt:lpstr>COSTOS</vt:lpstr>
      <vt:lpstr>COTIZACION</vt:lpstr>
      <vt:lpstr>INFORME</vt:lpstr>
      <vt:lpstr>BD</vt:lpstr>
      <vt:lpstr>ALMACEN</vt:lpstr>
      <vt:lpstr>CONTROL</vt:lpstr>
      <vt:lpstr>CONFIG</vt:lpstr>
      <vt:lpstr>AREAS</vt:lpstr>
      <vt:lpstr>AUTORIZADO</vt:lpstr>
      <vt:lpstr>ELABORADO</vt:lpstr>
      <vt:lpstr>RESPONSABLE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Vasquez Victoria</cp:lastModifiedBy>
  <cp:revision>3</cp:revision>
  <dcterms:created xsi:type="dcterms:W3CDTF">2026-05-17T19:31:26Z</dcterms:created>
  <dcterms:modified xsi:type="dcterms:W3CDTF">2026-05-20T20:45:11Z</dcterms:modified>
  <dc:language>en-US</dc:language>
</cp:coreProperties>
</file>